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5" yWindow="-15" windowWidth="7815" windowHeight="8160" tabRatio="837"/>
  </bookViews>
  <sheets>
    <sheet name="PinResourceAlloc" sheetId="1" r:id="rId1"/>
    <sheet name="PortConfigOptions" sheetId="9" r:id="rId2"/>
    <sheet name="PortConfigDescr" sheetId="7" r:id="rId3"/>
  </sheets>
  <functionGroups builtInGroupCount="17"/>
  <definedNames>
    <definedName name="_xlnm._FilterDatabase" localSheetId="0" hidden="1">PinResourceAlloc!$A$3:$AV$147</definedName>
    <definedName name="Z_AB8E8BA2_0521_46C5_947F_61508E76D025_.wvu.FilterData" localSheetId="0" hidden="1">PinResourceAlloc!$A$3:$AV$147</definedName>
    <definedName name="Z_EAB3996E_FAEF_43F6_8577_BE0258DFEECA_.wvu.FilterData" localSheetId="0" hidden="1">PinResourceAlloc!$A$3:$AV$147</definedName>
  </definedNames>
  <calcPr calcId="145621"/>
  <customWorkbookViews>
    <customWorkbookView name="Patel, Keyur - Personal View" guid="{AB8E8BA2-0521-46C5-947F-61508E76D025}" mergeInterval="0" personalView="1" maximized="1" windowWidth="1290" windowHeight="670" tabRatio="837" activeSheetId="5"/>
    <customWorkbookView name="Jason Erlenbeck - Personal View" guid="{EAB3996E-FAEF-43F6-8577-BE0258DFEECA}" mergeInterval="0" personalView="1" maximized="1" windowWidth="1916" windowHeight="854" tabRatio="837" activeSheetId="1"/>
  </customWorkbookViews>
</workbook>
</file>

<file path=xl/calcChain.xml><?xml version="1.0" encoding="utf-8"?>
<calcChain xmlns="http://schemas.openxmlformats.org/spreadsheetml/2006/main">
  <c r="AD52" i="1" l="1"/>
  <c r="Z98" i="1" l="1"/>
  <c r="AA98" i="1"/>
  <c r="AB98" i="1"/>
  <c r="AC98" i="1"/>
  <c r="AD98" i="1"/>
  <c r="AE98" i="1"/>
  <c r="AF98" i="1"/>
  <c r="AG98" i="1"/>
  <c r="AH98" i="1"/>
  <c r="AI98" i="1"/>
  <c r="AJ98" i="1"/>
  <c r="AK98" i="1"/>
  <c r="AL98" i="1"/>
  <c r="AM98" i="1"/>
  <c r="AN98" i="1"/>
  <c r="AO98" i="1"/>
  <c r="Z99" i="1"/>
  <c r="AA99" i="1"/>
  <c r="AB99" i="1"/>
  <c r="AC99" i="1"/>
  <c r="AD99" i="1"/>
  <c r="AE99" i="1"/>
  <c r="AF99" i="1"/>
  <c r="AG99" i="1"/>
  <c r="AH99" i="1"/>
  <c r="AI99" i="1"/>
  <c r="AJ99" i="1"/>
  <c r="AK99" i="1"/>
  <c r="AL99" i="1"/>
  <c r="AM99" i="1"/>
  <c r="AN99" i="1"/>
  <c r="AO99" i="1"/>
  <c r="Z105" i="1"/>
  <c r="AA105" i="1"/>
  <c r="AB105" i="1"/>
  <c r="AC105" i="1"/>
  <c r="AD105" i="1"/>
  <c r="AE105" i="1"/>
  <c r="AF105" i="1"/>
  <c r="AG105" i="1"/>
  <c r="AH105" i="1"/>
  <c r="AI105" i="1"/>
  <c r="AJ105" i="1"/>
  <c r="AK105" i="1"/>
  <c r="AL105" i="1"/>
  <c r="AM105" i="1"/>
  <c r="AN105" i="1"/>
  <c r="AO105" i="1"/>
  <c r="Z106" i="1"/>
  <c r="AA106" i="1"/>
  <c r="AB106" i="1"/>
  <c r="AC106" i="1"/>
  <c r="AD106" i="1"/>
  <c r="AE106" i="1"/>
  <c r="AF106" i="1"/>
  <c r="AG106" i="1"/>
  <c r="AH106" i="1"/>
  <c r="AI106" i="1"/>
  <c r="AJ106" i="1"/>
  <c r="AK106" i="1"/>
  <c r="AL106" i="1"/>
  <c r="AM106" i="1"/>
  <c r="AN106" i="1"/>
  <c r="AO106" i="1"/>
  <c r="Z107" i="1"/>
  <c r="AA107" i="1"/>
  <c r="AB107" i="1"/>
  <c r="AC107" i="1"/>
  <c r="AD107" i="1"/>
  <c r="AE107" i="1"/>
  <c r="AF107" i="1"/>
  <c r="AG107" i="1"/>
  <c r="AH107" i="1"/>
  <c r="AI107" i="1"/>
  <c r="AJ107" i="1"/>
  <c r="AK107" i="1"/>
  <c r="AL107" i="1"/>
  <c r="AM107" i="1"/>
  <c r="AN107" i="1"/>
  <c r="AO107" i="1"/>
  <c r="Z108" i="1"/>
  <c r="AA108" i="1"/>
  <c r="AB108" i="1"/>
  <c r="AC108" i="1"/>
  <c r="AD108" i="1"/>
  <c r="AE108" i="1"/>
  <c r="AF108" i="1"/>
  <c r="AG108" i="1"/>
  <c r="AH108" i="1"/>
  <c r="AI108" i="1"/>
  <c r="AJ108" i="1"/>
  <c r="AK108" i="1"/>
  <c r="AL108" i="1"/>
  <c r="AM108" i="1"/>
  <c r="AN108" i="1"/>
  <c r="AO108" i="1"/>
  <c r="Z109" i="1"/>
  <c r="AA109" i="1"/>
  <c r="AB109" i="1"/>
  <c r="AC109" i="1"/>
  <c r="AD109" i="1"/>
  <c r="AE109" i="1"/>
  <c r="AF109" i="1"/>
  <c r="AG109" i="1"/>
  <c r="AH109" i="1"/>
  <c r="AI109" i="1"/>
  <c r="AJ109" i="1"/>
  <c r="AK109" i="1"/>
  <c r="AL109" i="1"/>
  <c r="AM109" i="1"/>
  <c r="AN109" i="1"/>
  <c r="AO109" i="1"/>
  <c r="Z110" i="1"/>
  <c r="AA110" i="1"/>
  <c r="AB110" i="1"/>
  <c r="AC110" i="1"/>
  <c r="AD110" i="1"/>
  <c r="AE110" i="1"/>
  <c r="AF110" i="1"/>
  <c r="AG110" i="1"/>
  <c r="AH110" i="1"/>
  <c r="AI110" i="1"/>
  <c r="AJ110" i="1"/>
  <c r="AK110" i="1"/>
  <c r="AL110" i="1"/>
  <c r="AM110" i="1"/>
  <c r="AN110" i="1"/>
  <c r="AO110" i="1"/>
  <c r="Z41" i="1"/>
  <c r="AA41" i="1"/>
  <c r="AB41" i="1"/>
  <c r="AC41" i="1"/>
  <c r="AD41" i="1"/>
  <c r="AE41" i="1"/>
  <c r="AF41" i="1"/>
  <c r="AG41" i="1"/>
  <c r="AH41" i="1"/>
  <c r="AI41" i="1"/>
  <c r="AJ41" i="1"/>
  <c r="AK41" i="1"/>
  <c r="AL41" i="1"/>
  <c r="AM41" i="1"/>
  <c r="AN41" i="1"/>
  <c r="AO41" i="1"/>
  <c r="Z36" i="1"/>
  <c r="AA36" i="1"/>
  <c r="AB36" i="1"/>
  <c r="AC36" i="1"/>
  <c r="AD36" i="1"/>
  <c r="AE36" i="1"/>
  <c r="AF36" i="1"/>
  <c r="AG36" i="1"/>
  <c r="AH36" i="1"/>
  <c r="AI36" i="1"/>
  <c r="AJ36" i="1"/>
  <c r="AK36" i="1"/>
  <c r="AL36" i="1"/>
  <c r="AM36" i="1"/>
  <c r="AN36" i="1"/>
  <c r="AO36" i="1"/>
  <c r="Z111" i="1"/>
  <c r="AA111" i="1"/>
  <c r="AB111" i="1"/>
  <c r="AC111" i="1"/>
  <c r="AD111" i="1"/>
  <c r="AE111" i="1"/>
  <c r="AF111" i="1"/>
  <c r="AG111" i="1"/>
  <c r="AH111" i="1"/>
  <c r="AI111" i="1"/>
  <c r="AJ111" i="1"/>
  <c r="AK111" i="1"/>
  <c r="AL111" i="1"/>
  <c r="AM111" i="1"/>
  <c r="AN111" i="1"/>
  <c r="AO111" i="1"/>
  <c r="Z112" i="1"/>
  <c r="AA112" i="1"/>
  <c r="AB112" i="1"/>
  <c r="AC112" i="1"/>
  <c r="AD112" i="1"/>
  <c r="AE112" i="1"/>
  <c r="AF112" i="1"/>
  <c r="AG112" i="1"/>
  <c r="AH112" i="1"/>
  <c r="AI112" i="1"/>
  <c r="AJ112" i="1"/>
  <c r="AK112" i="1"/>
  <c r="AL112" i="1"/>
  <c r="AM112" i="1"/>
  <c r="AN112" i="1"/>
  <c r="AO112" i="1"/>
  <c r="Z100" i="1"/>
  <c r="AA100" i="1"/>
  <c r="AB100" i="1"/>
  <c r="AC100" i="1"/>
  <c r="AD100" i="1"/>
  <c r="AE100" i="1"/>
  <c r="AF100" i="1"/>
  <c r="AG100" i="1"/>
  <c r="AH100" i="1"/>
  <c r="AI100" i="1"/>
  <c r="AJ100" i="1"/>
  <c r="AK100" i="1"/>
  <c r="AL100" i="1"/>
  <c r="AM100" i="1"/>
  <c r="AN100" i="1"/>
  <c r="AO100" i="1"/>
  <c r="Z101" i="1"/>
  <c r="AA101" i="1"/>
  <c r="AB101" i="1"/>
  <c r="AC101" i="1"/>
  <c r="AD101" i="1"/>
  <c r="AE101" i="1"/>
  <c r="AF101" i="1"/>
  <c r="AG101" i="1"/>
  <c r="AH101" i="1"/>
  <c r="AI101" i="1"/>
  <c r="AJ101" i="1"/>
  <c r="AK101" i="1"/>
  <c r="AL101" i="1"/>
  <c r="AM101" i="1"/>
  <c r="AN101" i="1"/>
  <c r="AO101" i="1"/>
  <c r="Z102" i="1"/>
  <c r="AA102" i="1"/>
  <c r="AB102" i="1"/>
  <c r="AC102" i="1"/>
  <c r="AD102" i="1"/>
  <c r="AE102" i="1"/>
  <c r="AF102" i="1"/>
  <c r="AG102" i="1"/>
  <c r="AH102" i="1"/>
  <c r="AI102" i="1"/>
  <c r="AJ102" i="1"/>
  <c r="AK102" i="1"/>
  <c r="AL102" i="1"/>
  <c r="AM102" i="1"/>
  <c r="AN102" i="1"/>
  <c r="AO102" i="1"/>
  <c r="Z138" i="1"/>
  <c r="AA138" i="1"/>
  <c r="AB138" i="1"/>
  <c r="AC138" i="1"/>
  <c r="AD138" i="1"/>
  <c r="AE138" i="1"/>
  <c r="AF138" i="1"/>
  <c r="AG138" i="1"/>
  <c r="AH138" i="1"/>
  <c r="AI138" i="1"/>
  <c r="AJ138" i="1"/>
  <c r="AK138" i="1"/>
  <c r="AL138" i="1"/>
  <c r="AM138" i="1"/>
  <c r="AN138" i="1"/>
  <c r="AO138" i="1"/>
  <c r="Z142" i="1"/>
  <c r="AA142" i="1"/>
  <c r="AB142" i="1"/>
  <c r="AC142" i="1"/>
  <c r="AD142" i="1"/>
  <c r="AE142" i="1"/>
  <c r="AF142" i="1"/>
  <c r="AG142" i="1"/>
  <c r="AH142" i="1"/>
  <c r="AI142" i="1"/>
  <c r="AJ142" i="1"/>
  <c r="AK142" i="1"/>
  <c r="AL142" i="1"/>
  <c r="AM142" i="1"/>
  <c r="AN142" i="1"/>
  <c r="AO142" i="1"/>
  <c r="Z136" i="1"/>
  <c r="AA136" i="1"/>
  <c r="AB136" i="1"/>
  <c r="AC136" i="1"/>
  <c r="AD136" i="1"/>
  <c r="AE136" i="1"/>
  <c r="AF136" i="1"/>
  <c r="AG136" i="1"/>
  <c r="AH136" i="1"/>
  <c r="AI136" i="1"/>
  <c r="AJ136" i="1"/>
  <c r="AK136" i="1"/>
  <c r="AL136" i="1"/>
  <c r="AM136" i="1"/>
  <c r="AN136" i="1"/>
  <c r="AO136" i="1"/>
  <c r="Z103" i="1"/>
  <c r="AA103" i="1"/>
  <c r="AB103" i="1"/>
  <c r="AC103" i="1"/>
  <c r="AD103" i="1"/>
  <c r="AE103" i="1"/>
  <c r="AF103" i="1"/>
  <c r="AG103" i="1"/>
  <c r="AH103" i="1"/>
  <c r="AI103" i="1"/>
  <c r="AJ103" i="1"/>
  <c r="AK103" i="1"/>
  <c r="AL103" i="1"/>
  <c r="AM103" i="1"/>
  <c r="AN103" i="1"/>
  <c r="AO103" i="1"/>
  <c r="Z104" i="1"/>
  <c r="AA104" i="1"/>
  <c r="AB104" i="1"/>
  <c r="AC104" i="1"/>
  <c r="AD104" i="1"/>
  <c r="AE104" i="1"/>
  <c r="AF104" i="1"/>
  <c r="AG104" i="1"/>
  <c r="AH104" i="1"/>
  <c r="AI104" i="1"/>
  <c r="AJ104" i="1"/>
  <c r="AK104" i="1"/>
  <c r="AL104" i="1"/>
  <c r="AM104" i="1"/>
  <c r="AN104" i="1"/>
  <c r="AO104" i="1"/>
  <c r="Z25" i="1"/>
  <c r="AA25" i="1"/>
  <c r="AB25" i="1"/>
  <c r="AC25" i="1"/>
  <c r="AD25" i="1"/>
  <c r="AE25" i="1"/>
  <c r="AF25" i="1"/>
  <c r="AG25" i="1"/>
  <c r="AH25" i="1"/>
  <c r="AI25" i="1"/>
  <c r="AJ25" i="1"/>
  <c r="AK25" i="1"/>
  <c r="AL25" i="1"/>
  <c r="AM25" i="1"/>
  <c r="AN25" i="1"/>
  <c r="AO25" i="1"/>
  <c r="Z24" i="1"/>
  <c r="AA24" i="1"/>
  <c r="AB24" i="1"/>
  <c r="AC24" i="1"/>
  <c r="AD24" i="1"/>
  <c r="AE24" i="1"/>
  <c r="AF24" i="1"/>
  <c r="AG24" i="1"/>
  <c r="AH24" i="1"/>
  <c r="AI24" i="1"/>
  <c r="AJ24" i="1"/>
  <c r="AK24" i="1"/>
  <c r="AL24" i="1"/>
  <c r="AM24" i="1"/>
  <c r="AN24" i="1"/>
  <c r="AO24" i="1"/>
  <c r="Z33" i="1"/>
  <c r="AA33" i="1"/>
  <c r="AB33" i="1"/>
  <c r="AC33" i="1"/>
  <c r="AD33" i="1"/>
  <c r="AE33" i="1"/>
  <c r="AF33" i="1"/>
  <c r="AG33" i="1"/>
  <c r="AH33" i="1"/>
  <c r="AI33" i="1"/>
  <c r="AJ33" i="1"/>
  <c r="AK33" i="1"/>
  <c r="AL33" i="1"/>
  <c r="AM33" i="1"/>
  <c r="AN33" i="1"/>
  <c r="AO33" i="1"/>
  <c r="Z32" i="1"/>
  <c r="AA32" i="1"/>
  <c r="AB32" i="1"/>
  <c r="AC32" i="1"/>
  <c r="AD32" i="1"/>
  <c r="AE32" i="1"/>
  <c r="AF32" i="1"/>
  <c r="AG32" i="1"/>
  <c r="AH32" i="1"/>
  <c r="AI32" i="1"/>
  <c r="AJ32" i="1"/>
  <c r="AK32" i="1"/>
  <c r="AL32" i="1"/>
  <c r="AM32" i="1"/>
  <c r="AN32" i="1"/>
  <c r="AO32" i="1"/>
  <c r="Z31" i="1"/>
  <c r="AA31" i="1"/>
  <c r="AB31" i="1"/>
  <c r="AC31" i="1"/>
  <c r="AD31" i="1"/>
  <c r="AE31" i="1"/>
  <c r="AF31" i="1"/>
  <c r="AG31" i="1"/>
  <c r="AH31" i="1"/>
  <c r="AI31" i="1"/>
  <c r="AJ31" i="1"/>
  <c r="AK31" i="1"/>
  <c r="AL31" i="1"/>
  <c r="AM31" i="1"/>
  <c r="AN31" i="1"/>
  <c r="AO31" i="1"/>
  <c r="Z30" i="1"/>
  <c r="AA30" i="1"/>
  <c r="AB30" i="1"/>
  <c r="AC30" i="1"/>
  <c r="AD30" i="1"/>
  <c r="AE30" i="1"/>
  <c r="AF30" i="1"/>
  <c r="AG30" i="1"/>
  <c r="AH30" i="1"/>
  <c r="AI30" i="1"/>
  <c r="AJ30" i="1"/>
  <c r="AK30" i="1"/>
  <c r="AL30" i="1"/>
  <c r="AM30" i="1"/>
  <c r="AN30" i="1"/>
  <c r="AO30" i="1"/>
  <c r="Z29" i="1"/>
  <c r="AA29" i="1"/>
  <c r="AB29" i="1"/>
  <c r="AC29" i="1"/>
  <c r="AD29" i="1"/>
  <c r="AE29" i="1"/>
  <c r="AF29" i="1"/>
  <c r="AG29" i="1"/>
  <c r="AH29" i="1"/>
  <c r="AI29" i="1"/>
  <c r="AJ29" i="1"/>
  <c r="AK29" i="1"/>
  <c r="AL29" i="1"/>
  <c r="AM29" i="1"/>
  <c r="AN29" i="1"/>
  <c r="AO29" i="1"/>
  <c r="Z28" i="1"/>
  <c r="AA28" i="1"/>
  <c r="AB28" i="1"/>
  <c r="AC28" i="1"/>
  <c r="AD28" i="1"/>
  <c r="AE28" i="1"/>
  <c r="AF28" i="1"/>
  <c r="AG28" i="1"/>
  <c r="AH28" i="1"/>
  <c r="AI28" i="1"/>
  <c r="AJ28" i="1"/>
  <c r="AK28" i="1"/>
  <c r="AL28" i="1"/>
  <c r="AM28" i="1"/>
  <c r="AN28" i="1"/>
  <c r="AO28" i="1"/>
  <c r="Z27" i="1"/>
  <c r="AA27" i="1"/>
  <c r="AB27" i="1"/>
  <c r="AC27" i="1"/>
  <c r="AD27" i="1"/>
  <c r="AE27" i="1"/>
  <c r="AF27" i="1"/>
  <c r="AG27" i="1"/>
  <c r="AH27" i="1"/>
  <c r="AI27" i="1"/>
  <c r="AJ27" i="1"/>
  <c r="AK27" i="1"/>
  <c r="AL27" i="1"/>
  <c r="AM27" i="1"/>
  <c r="AN27" i="1"/>
  <c r="AO27" i="1"/>
  <c r="Z26" i="1"/>
  <c r="AA26" i="1"/>
  <c r="AB26" i="1"/>
  <c r="AC26" i="1"/>
  <c r="AD26" i="1"/>
  <c r="AE26" i="1"/>
  <c r="AF26" i="1"/>
  <c r="AG26" i="1"/>
  <c r="AH26" i="1"/>
  <c r="AI26" i="1"/>
  <c r="AJ26" i="1"/>
  <c r="AK26" i="1"/>
  <c r="AL26" i="1"/>
  <c r="AM26" i="1"/>
  <c r="AN26" i="1"/>
  <c r="AO26" i="1"/>
  <c r="Z23" i="1"/>
  <c r="AA23" i="1"/>
  <c r="AB23" i="1"/>
  <c r="AC23" i="1"/>
  <c r="AD23" i="1"/>
  <c r="AE23" i="1"/>
  <c r="AF23" i="1"/>
  <c r="AG23" i="1"/>
  <c r="AH23" i="1"/>
  <c r="AI23" i="1"/>
  <c r="AJ23" i="1"/>
  <c r="AK23" i="1"/>
  <c r="AL23" i="1"/>
  <c r="AM23" i="1"/>
  <c r="AN23" i="1"/>
  <c r="AO23" i="1"/>
  <c r="Z22" i="1"/>
  <c r="AA22" i="1"/>
  <c r="AB22" i="1"/>
  <c r="AC22" i="1"/>
  <c r="AD22" i="1"/>
  <c r="AE22" i="1"/>
  <c r="AF22" i="1"/>
  <c r="AG22" i="1"/>
  <c r="AH22" i="1"/>
  <c r="AI22" i="1"/>
  <c r="AJ22" i="1"/>
  <c r="AK22" i="1"/>
  <c r="AL22" i="1"/>
  <c r="AM22" i="1"/>
  <c r="AN22" i="1"/>
  <c r="AO22" i="1"/>
  <c r="Z7" i="1"/>
  <c r="AA7" i="1"/>
  <c r="AB7" i="1"/>
  <c r="AC7" i="1"/>
  <c r="AD7" i="1"/>
  <c r="AE7" i="1"/>
  <c r="AF7" i="1"/>
  <c r="AG7" i="1"/>
  <c r="AH7" i="1"/>
  <c r="AI7" i="1"/>
  <c r="AJ7" i="1"/>
  <c r="AK7" i="1"/>
  <c r="AL7" i="1"/>
  <c r="AM7" i="1"/>
  <c r="AN7" i="1"/>
  <c r="AO7" i="1"/>
  <c r="Z8" i="1"/>
  <c r="AA8" i="1"/>
  <c r="AB8" i="1"/>
  <c r="AC8" i="1"/>
  <c r="AD8" i="1"/>
  <c r="AE8" i="1"/>
  <c r="AF8" i="1"/>
  <c r="AG8" i="1"/>
  <c r="AH8" i="1"/>
  <c r="AI8" i="1"/>
  <c r="AJ8" i="1"/>
  <c r="AK8" i="1"/>
  <c r="AL8" i="1"/>
  <c r="AM8" i="1"/>
  <c r="AN8" i="1"/>
  <c r="AO8" i="1"/>
  <c r="Z9" i="1"/>
  <c r="AA9" i="1"/>
  <c r="AB9" i="1"/>
  <c r="AC9" i="1"/>
  <c r="AD9" i="1"/>
  <c r="AE9" i="1"/>
  <c r="AF9" i="1"/>
  <c r="AG9" i="1"/>
  <c r="AH9" i="1"/>
  <c r="AI9" i="1"/>
  <c r="AJ9" i="1"/>
  <c r="AK9" i="1"/>
  <c r="AL9" i="1"/>
  <c r="AM9" i="1"/>
  <c r="AN9" i="1"/>
  <c r="AO9" i="1"/>
  <c r="Z5" i="1"/>
  <c r="AA5" i="1"/>
  <c r="AB5" i="1"/>
  <c r="AC5" i="1"/>
  <c r="AD5" i="1"/>
  <c r="AE5" i="1"/>
  <c r="AF5" i="1"/>
  <c r="AG5" i="1"/>
  <c r="AH5" i="1"/>
  <c r="AI5" i="1"/>
  <c r="AJ5" i="1"/>
  <c r="AK5" i="1"/>
  <c r="AL5" i="1"/>
  <c r="AM5" i="1"/>
  <c r="AN5" i="1"/>
  <c r="AO5" i="1"/>
  <c r="Z6" i="1"/>
  <c r="AA6" i="1"/>
  <c r="AB6" i="1"/>
  <c r="AC6" i="1"/>
  <c r="AD6" i="1"/>
  <c r="AE6" i="1"/>
  <c r="AF6" i="1"/>
  <c r="AG6" i="1"/>
  <c r="AH6" i="1"/>
  <c r="AI6" i="1"/>
  <c r="AJ6" i="1"/>
  <c r="AK6" i="1"/>
  <c r="AL6" i="1"/>
  <c r="AM6" i="1"/>
  <c r="AN6" i="1"/>
  <c r="AO6" i="1"/>
  <c r="Z4" i="1"/>
  <c r="AA4" i="1"/>
  <c r="AB4" i="1"/>
  <c r="AC4" i="1"/>
  <c r="AD4" i="1"/>
  <c r="AE4" i="1"/>
  <c r="AF4" i="1"/>
  <c r="AG4" i="1"/>
  <c r="AH4" i="1"/>
  <c r="AI4" i="1"/>
  <c r="AJ4" i="1"/>
  <c r="AK4" i="1"/>
  <c r="AL4" i="1"/>
  <c r="AM4" i="1"/>
  <c r="AN4" i="1"/>
  <c r="AO4" i="1"/>
  <c r="Z10" i="1"/>
  <c r="AA10" i="1"/>
  <c r="AB10" i="1"/>
  <c r="AC10" i="1"/>
  <c r="AD10" i="1"/>
  <c r="AE10" i="1"/>
  <c r="AF10" i="1"/>
  <c r="AG10" i="1"/>
  <c r="AH10" i="1"/>
  <c r="AI10" i="1"/>
  <c r="AJ10" i="1"/>
  <c r="AK10" i="1"/>
  <c r="AL10" i="1"/>
  <c r="AM10" i="1"/>
  <c r="AN10" i="1"/>
  <c r="AO10" i="1"/>
  <c r="Z11" i="1"/>
  <c r="AA11" i="1"/>
  <c r="AB11" i="1"/>
  <c r="AC11" i="1"/>
  <c r="AD11" i="1"/>
  <c r="AE11" i="1"/>
  <c r="AF11" i="1"/>
  <c r="AG11" i="1"/>
  <c r="AH11" i="1"/>
  <c r="AI11" i="1"/>
  <c r="AJ11" i="1"/>
  <c r="AK11" i="1"/>
  <c r="AL11" i="1"/>
  <c r="AM11" i="1"/>
  <c r="AN11" i="1"/>
  <c r="AO11" i="1"/>
  <c r="Z14" i="1"/>
  <c r="AA14" i="1"/>
  <c r="AB14" i="1"/>
  <c r="AC14" i="1"/>
  <c r="AD14" i="1"/>
  <c r="AE14" i="1"/>
  <c r="AF14" i="1"/>
  <c r="AG14" i="1"/>
  <c r="AH14" i="1"/>
  <c r="AI14" i="1"/>
  <c r="AJ14" i="1"/>
  <c r="AK14" i="1"/>
  <c r="AL14" i="1"/>
  <c r="AM14" i="1"/>
  <c r="AN14" i="1"/>
  <c r="AO14" i="1"/>
  <c r="Z15" i="1"/>
  <c r="AA15" i="1"/>
  <c r="AB15" i="1"/>
  <c r="AC15" i="1"/>
  <c r="AD15" i="1"/>
  <c r="AE15" i="1"/>
  <c r="AF15" i="1"/>
  <c r="AG15" i="1"/>
  <c r="AH15" i="1"/>
  <c r="AI15" i="1"/>
  <c r="AJ15" i="1"/>
  <c r="AK15" i="1"/>
  <c r="AL15" i="1"/>
  <c r="AM15" i="1"/>
  <c r="AN15" i="1"/>
  <c r="AO15" i="1"/>
  <c r="Z16" i="1"/>
  <c r="AA16" i="1"/>
  <c r="AB16" i="1"/>
  <c r="AC16" i="1"/>
  <c r="AD16" i="1"/>
  <c r="AE16" i="1"/>
  <c r="AF16" i="1"/>
  <c r="AG16" i="1"/>
  <c r="AH16" i="1"/>
  <c r="AI16" i="1"/>
  <c r="AJ16" i="1"/>
  <c r="AK16" i="1"/>
  <c r="AL16" i="1"/>
  <c r="AM16" i="1"/>
  <c r="AN16" i="1"/>
  <c r="AO16" i="1"/>
  <c r="Z17" i="1"/>
  <c r="AA17" i="1"/>
  <c r="AB17" i="1"/>
  <c r="AC17" i="1"/>
  <c r="AD17" i="1"/>
  <c r="AE17" i="1"/>
  <c r="AF17" i="1"/>
  <c r="AG17" i="1"/>
  <c r="AH17" i="1"/>
  <c r="AI17" i="1"/>
  <c r="AJ17" i="1"/>
  <c r="AK17" i="1"/>
  <c r="AL17" i="1"/>
  <c r="AM17" i="1"/>
  <c r="AN17" i="1"/>
  <c r="AO17" i="1"/>
  <c r="Z18" i="1"/>
  <c r="AA18" i="1"/>
  <c r="AB18" i="1"/>
  <c r="AC18" i="1"/>
  <c r="AD18" i="1"/>
  <c r="AE18" i="1"/>
  <c r="AF18" i="1"/>
  <c r="AG18" i="1"/>
  <c r="AH18" i="1"/>
  <c r="AI18" i="1"/>
  <c r="AJ18" i="1"/>
  <c r="AK18" i="1"/>
  <c r="AL18" i="1"/>
  <c r="AM18" i="1"/>
  <c r="AN18" i="1"/>
  <c r="AO18" i="1"/>
  <c r="Z19" i="1"/>
  <c r="AA19" i="1"/>
  <c r="AB19" i="1"/>
  <c r="AC19" i="1"/>
  <c r="AD19" i="1"/>
  <c r="AE19" i="1"/>
  <c r="AF19" i="1"/>
  <c r="AG19" i="1"/>
  <c r="AH19" i="1"/>
  <c r="AI19" i="1"/>
  <c r="AJ19" i="1"/>
  <c r="AK19" i="1"/>
  <c r="AL19" i="1"/>
  <c r="AM19" i="1"/>
  <c r="AN19" i="1"/>
  <c r="AO19" i="1"/>
  <c r="Z20" i="1"/>
  <c r="AA20" i="1"/>
  <c r="AB20" i="1"/>
  <c r="AC20" i="1"/>
  <c r="AD20" i="1"/>
  <c r="AE20" i="1"/>
  <c r="AF20" i="1"/>
  <c r="AG20" i="1"/>
  <c r="AH20" i="1"/>
  <c r="AI20" i="1"/>
  <c r="AJ20" i="1"/>
  <c r="AK20" i="1"/>
  <c r="AL20" i="1"/>
  <c r="AM20" i="1"/>
  <c r="AN20" i="1"/>
  <c r="AO20" i="1"/>
  <c r="Z21" i="1"/>
  <c r="AA21" i="1"/>
  <c r="AB21" i="1"/>
  <c r="AC21" i="1"/>
  <c r="AD21" i="1"/>
  <c r="AE21" i="1"/>
  <c r="AF21" i="1"/>
  <c r="AG21" i="1"/>
  <c r="AH21" i="1"/>
  <c r="AI21" i="1"/>
  <c r="AJ21" i="1"/>
  <c r="AK21" i="1"/>
  <c r="AL21" i="1"/>
  <c r="AM21" i="1"/>
  <c r="AN21" i="1"/>
  <c r="AO21" i="1"/>
  <c r="Z12" i="1"/>
  <c r="AA12" i="1"/>
  <c r="AB12" i="1"/>
  <c r="AC12" i="1"/>
  <c r="AD12" i="1"/>
  <c r="AE12" i="1"/>
  <c r="AF12" i="1"/>
  <c r="AG12" i="1"/>
  <c r="AH12" i="1"/>
  <c r="AI12" i="1"/>
  <c r="AJ12" i="1"/>
  <c r="AK12" i="1"/>
  <c r="AL12" i="1"/>
  <c r="AM12" i="1"/>
  <c r="AN12" i="1"/>
  <c r="AO12" i="1"/>
  <c r="Z13" i="1"/>
  <c r="AA13" i="1"/>
  <c r="AB13" i="1"/>
  <c r="AC13" i="1"/>
  <c r="AD13" i="1"/>
  <c r="AE13" i="1"/>
  <c r="AF13" i="1"/>
  <c r="AG13" i="1"/>
  <c r="AH13" i="1"/>
  <c r="AI13" i="1"/>
  <c r="AJ13" i="1"/>
  <c r="AK13" i="1"/>
  <c r="AL13" i="1"/>
  <c r="AM13" i="1"/>
  <c r="AN13" i="1"/>
  <c r="AO13" i="1"/>
  <c r="Z113" i="1"/>
  <c r="AA113" i="1"/>
  <c r="AB113" i="1"/>
  <c r="AC113" i="1"/>
  <c r="AD113" i="1"/>
  <c r="AE113" i="1"/>
  <c r="AF113" i="1"/>
  <c r="AG113" i="1"/>
  <c r="AH113" i="1"/>
  <c r="AI113" i="1"/>
  <c r="AJ113" i="1"/>
  <c r="AK113" i="1"/>
  <c r="AL113" i="1"/>
  <c r="AM113" i="1"/>
  <c r="AN113" i="1"/>
  <c r="AO113" i="1"/>
  <c r="Z114" i="1"/>
  <c r="AA114" i="1"/>
  <c r="AB114" i="1"/>
  <c r="AC114" i="1"/>
  <c r="AD114" i="1"/>
  <c r="AE114" i="1"/>
  <c r="AF114" i="1"/>
  <c r="AG114" i="1"/>
  <c r="AH114" i="1"/>
  <c r="AI114" i="1"/>
  <c r="AJ114" i="1"/>
  <c r="AK114" i="1"/>
  <c r="AL114" i="1"/>
  <c r="AM114" i="1"/>
  <c r="AN114" i="1"/>
  <c r="AO114" i="1"/>
  <c r="Z121" i="1"/>
  <c r="AA121" i="1"/>
  <c r="AB121" i="1"/>
  <c r="AC121" i="1"/>
  <c r="AD121" i="1"/>
  <c r="AE121" i="1"/>
  <c r="AF121" i="1"/>
  <c r="AG121" i="1"/>
  <c r="AH121" i="1"/>
  <c r="AI121" i="1"/>
  <c r="AJ121" i="1"/>
  <c r="AK121" i="1"/>
  <c r="AL121" i="1"/>
  <c r="AM121" i="1"/>
  <c r="AN121" i="1"/>
  <c r="AO121" i="1"/>
  <c r="Z122" i="1"/>
  <c r="AA122" i="1"/>
  <c r="AB122" i="1"/>
  <c r="AC122" i="1"/>
  <c r="AD122" i="1"/>
  <c r="AE122" i="1"/>
  <c r="AF122" i="1"/>
  <c r="AG122" i="1"/>
  <c r="AH122" i="1"/>
  <c r="AI122" i="1"/>
  <c r="AJ122" i="1"/>
  <c r="AK122" i="1"/>
  <c r="AL122" i="1"/>
  <c r="AM122" i="1"/>
  <c r="AN122" i="1"/>
  <c r="AO122" i="1"/>
  <c r="Z123" i="1"/>
  <c r="AA123" i="1"/>
  <c r="AB123" i="1"/>
  <c r="AC123" i="1"/>
  <c r="AD123" i="1"/>
  <c r="AE123" i="1"/>
  <c r="AF123" i="1"/>
  <c r="AG123" i="1"/>
  <c r="AH123" i="1"/>
  <c r="AI123" i="1"/>
  <c r="AJ123" i="1"/>
  <c r="AK123" i="1"/>
  <c r="AL123" i="1"/>
  <c r="AM123" i="1"/>
  <c r="AN123" i="1"/>
  <c r="AO123" i="1"/>
  <c r="Z124" i="1"/>
  <c r="AA124" i="1"/>
  <c r="AB124" i="1"/>
  <c r="AC124" i="1"/>
  <c r="AD124" i="1"/>
  <c r="AE124" i="1"/>
  <c r="AF124" i="1"/>
  <c r="AG124" i="1"/>
  <c r="AH124" i="1"/>
  <c r="AI124" i="1"/>
  <c r="AJ124" i="1"/>
  <c r="AK124" i="1"/>
  <c r="AL124" i="1"/>
  <c r="AM124" i="1"/>
  <c r="AN124" i="1"/>
  <c r="AO124" i="1"/>
  <c r="Z125" i="1"/>
  <c r="AA125" i="1"/>
  <c r="AB125" i="1"/>
  <c r="AC125" i="1"/>
  <c r="AD125" i="1"/>
  <c r="AE125" i="1"/>
  <c r="AF125" i="1"/>
  <c r="AG125" i="1"/>
  <c r="AH125" i="1"/>
  <c r="AI125" i="1"/>
  <c r="AJ125" i="1"/>
  <c r="AK125" i="1"/>
  <c r="AL125" i="1"/>
  <c r="AM125" i="1"/>
  <c r="AN125" i="1"/>
  <c r="AO125" i="1"/>
  <c r="Z126" i="1"/>
  <c r="AA126" i="1"/>
  <c r="AB126" i="1"/>
  <c r="AC126" i="1"/>
  <c r="AD126" i="1"/>
  <c r="AE126" i="1"/>
  <c r="AF126" i="1"/>
  <c r="AG126" i="1"/>
  <c r="AH126" i="1"/>
  <c r="AI126" i="1"/>
  <c r="AJ126" i="1"/>
  <c r="AK126" i="1"/>
  <c r="AL126" i="1"/>
  <c r="AM126" i="1"/>
  <c r="AN126" i="1"/>
  <c r="AO126" i="1"/>
  <c r="Z37" i="1"/>
  <c r="AA37" i="1"/>
  <c r="AB37" i="1"/>
  <c r="AC37" i="1"/>
  <c r="AD37" i="1"/>
  <c r="AE37" i="1"/>
  <c r="AF37" i="1"/>
  <c r="AG37" i="1"/>
  <c r="AH37" i="1"/>
  <c r="AI37" i="1"/>
  <c r="AJ37" i="1"/>
  <c r="AK37" i="1"/>
  <c r="AL37" i="1"/>
  <c r="AM37" i="1"/>
  <c r="AN37" i="1"/>
  <c r="AO37" i="1"/>
  <c r="Z42" i="1"/>
  <c r="AA42" i="1"/>
  <c r="AB42" i="1"/>
  <c r="AC42" i="1"/>
  <c r="AD42" i="1"/>
  <c r="AE42" i="1"/>
  <c r="AF42" i="1"/>
  <c r="AG42" i="1"/>
  <c r="AH42" i="1"/>
  <c r="AI42" i="1"/>
  <c r="AJ42" i="1"/>
  <c r="AK42" i="1"/>
  <c r="AL42" i="1"/>
  <c r="AM42" i="1"/>
  <c r="AN42" i="1"/>
  <c r="AO42" i="1"/>
  <c r="Z127" i="1"/>
  <c r="AA127" i="1"/>
  <c r="AB127" i="1"/>
  <c r="AC127" i="1"/>
  <c r="AD127" i="1"/>
  <c r="AE127" i="1"/>
  <c r="AF127" i="1"/>
  <c r="AG127" i="1"/>
  <c r="AH127" i="1"/>
  <c r="AI127" i="1"/>
  <c r="AJ127" i="1"/>
  <c r="AK127" i="1"/>
  <c r="AL127" i="1"/>
  <c r="AM127" i="1"/>
  <c r="AN127" i="1"/>
  <c r="AO127" i="1"/>
  <c r="Z128" i="1"/>
  <c r="AA128" i="1"/>
  <c r="AB128" i="1"/>
  <c r="AC128" i="1"/>
  <c r="AD128" i="1"/>
  <c r="AE128" i="1"/>
  <c r="AF128" i="1"/>
  <c r="AG128" i="1"/>
  <c r="AH128" i="1"/>
  <c r="AI128" i="1"/>
  <c r="AJ128" i="1"/>
  <c r="AK128" i="1"/>
  <c r="AL128" i="1"/>
  <c r="AM128" i="1"/>
  <c r="AN128" i="1"/>
  <c r="AO128" i="1"/>
  <c r="Z115" i="1"/>
  <c r="AA115" i="1"/>
  <c r="AB115" i="1"/>
  <c r="AC115" i="1"/>
  <c r="AD115" i="1"/>
  <c r="AE115" i="1"/>
  <c r="AF115" i="1"/>
  <c r="AG115" i="1"/>
  <c r="AH115" i="1"/>
  <c r="AI115" i="1"/>
  <c r="AJ115" i="1"/>
  <c r="AK115" i="1"/>
  <c r="AL115" i="1"/>
  <c r="AM115" i="1"/>
  <c r="AN115" i="1"/>
  <c r="AO115" i="1"/>
  <c r="Z116" i="1"/>
  <c r="AA116" i="1"/>
  <c r="AB116" i="1"/>
  <c r="AC116" i="1"/>
  <c r="AD116" i="1"/>
  <c r="AE116" i="1"/>
  <c r="AF116" i="1"/>
  <c r="AG116" i="1"/>
  <c r="AH116" i="1"/>
  <c r="AI116" i="1"/>
  <c r="AJ116" i="1"/>
  <c r="AK116" i="1"/>
  <c r="AL116" i="1"/>
  <c r="AM116" i="1"/>
  <c r="AN116" i="1"/>
  <c r="AO116" i="1"/>
  <c r="Z117" i="1"/>
  <c r="AA117" i="1"/>
  <c r="AB117" i="1"/>
  <c r="AC117" i="1"/>
  <c r="AD117" i="1"/>
  <c r="AE117" i="1"/>
  <c r="AF117" i="1"/>
  <c r="AG117" i="1"/>
  <c r="AH117" i="1"/>
  <c r="AI117" i="1"/>
  <c r="AJ117" i="1"/>
  <c r="AK117" i="1"/>
  <c r="AL117" i="1"/>
  <c r="AM117" i="1"/>
  <c r="AN117" i="1"/>
  <c r="AO117" i="1"/>
  <c r="Z118" i="1"/>
  <c r="AA118" i="1"/>
  <c r="AB118" i="1"/>
  <c r="AC118" i="1"/>
  <c r="AD118" i="1"/>
  <c r="AE118" i="1"/>
  <c r="AF118" i="1"/>
  <c r="AG118" i="1"/>
  <c r="AH118" i="1"/>
  <c r="AI118" i="1"/>
  <c r="AJ118" i="1"/>
  <c r="AK118" i="1"/>
  <c r="AL118" i="1"/>
  <c r="AM118" i="1"/>
  <c r="AN118" i="1"/>
  <c r="AO118" i="1"/>
  <c r="Z119" i="1"/>
  <c r="AA119" i="1"/>
  <c r="AB119" i="1"/>
  <c r="AC119" i="1"/>
  <c r="AD119" i="1"/>
  <c r="AE119" i="1"/>
  <c r="AF119" i="1"/>
  <c r="AG119" i="1"/>
  <c r="AH119" i="1"/>
  <c r="AI119" i="1"/>
  <c r="AJ119" i="1"/>
  <c r="AK119" i="1"/>
  <c r="AL119" i="1"/>
  <c r="AM119" i="1"/>
  <c r="AN119" i="1"/>
  <c r="AO119" i="1"/>
  <c r="Z120" i="1"/>
  <c r="AA120" i="1"/>
  <c r="AB120" i="1"/>
  <c r="AC120" i="1"/>
  <c r="AD120" i="1"/>
  <c r="AE120" i="1"/>
  <c r="AF120" i="1"/>
  <c r="AG120" i="1"/>
  <c r="AH120" i="1"/>
  <c r="AI120" i="1"/>
  <c r="AJ120" i="1"/>
  <c r="AK120" i="1"/>
  <c r="AL120" i="1"/>
  <c r="AM120" i="1"/>
  <c r="AN120" i="1"/>
  <c r="AO120" i="1"/>
  <c r="Z47" i="1"/>
  <c r="AA47" i="1"/>
  <c r="AB47" i="1"/>
  <c r="AC47" i="1"/>
  <c r="AD47" i="1"/>
  <c r="AE47" i="1"/>
  <c r="AF47" i="1"/>
  <c r="AG47" i="1"/>
  <c r="AH47" i="1"/>
  <c r="AI47" i="1"/>
  <c r="AJ47" i="1"/>
  <c r="AK47" i="1"/>
  <c r="AL47" i="1"/>
  <c r="AM47" i="1"/>
  <c r="AN47" i="1"/>
  <c r="AO47" i="1"/>
  <c r="Z48" i="1"/>
  <c r="AB48" i="1"/>
  <c r="AC48" i="1"/>
  <c r="AD48" i="1"/>
  <c r="AE48" i="1"/>
  <c r="AF48" i="1"/>
  <c r="AG48" i="1"/>
  <c r="AH48" i="1"/>
  <c r="AI48" i="1"/>
  <c r="AJ48" i="1"/>
  <c r="AK48" i="1"/>
  <c r="AL48" i="1"/>
  <c r="AM48" i="1"/>
  <c r="AN48" i="1"/>
  <c r="AO48" i="1"/>
  <c r="Z86" i="1"/>
  <c r="AA86" i="1"/>
  <c r="AB86" i="1"/>
  <c r="AC86" i="1"/>
  <c r="AD86" i="1"/>
  <c r="AE86" i="1"/>
  <c r="AF86" i="1"/>
  <c r="AG86" i="1"/>
  <c r="AH86" i="1"/>
  <c r="AI86" i="1"/>
  <c r="AJ86" i="1"/>
  <c r="AK86" i="1"/>
  <c r="AL86" i="1"/>
  <c r="AM86" i="1"/>
  <c r="AN86" i="1"/>
  <c r="AO86" i="1"/>
  <c r="Z54" i="1"/>
  <c r="AA54" i="1"/>
  <c r="AB54" i="1"/>
  <c r="AC54" i="1"/>
  <c r="AD54" i="1"/>
  <c r="AE54" i="1"/>
  <c r="AF54" i="1"/>
  <c r="AG54" i="1"/>
  <c r="AH54" i="1"/>
  <c r="AI54" i="1"/>
  <c r="AJ54" i="1"/>
  <c r="AK54" i="1"/>
  <c r="AL54" i="1"/>
  <c r="AM54" i="1"/>
  <c r="AN54" i="1"/>
  <c r="AO54" i="1"/>
  <c r="Z55" i="1"/>
  <c r="AA55" i="1"/>
  <c r="AB55" i="1"/>
  <c r="AC55" i="1"/>
  <c r="AD55" i="1"/>
  <c r="AE55" i="1"/>
  <c r="AF55" i="1"/>
  <c r="AG55" i="1"/>
  <c r="AH55" i="1"/>
  <c r="AI55" i="1"/>
  <c r="AJ55" i="1"/>
  <c r="AK55" i="1"/>
  <c r="AL55" i="1"/>
  <c r="AM55" i="1"/>
  <c r="AN55" i="1"/>
  <c r="AO55" i="1"/>
  <c r="Z56" i="1"/>
  <c r="AA56" i="1"/>
  <c r="AB56" i="1"/>
  <c r="AC56" i="1"/>
  <c r="AD56" i="1"/>
  <c r="AE56" i="1"/>
  <c r="AF56" i="1"/>
  <c r="AG56" i="1"/>
  <c r="AH56" i="1"/>
  <c r="AI56" i="1"/>
  <c r="AJ56" i="1"/>
  <c r="AK56" i="1"/>
  <c r="AL56" i="1"/>
  <c r="AM56" i="1"/>
  <c r="AN56" i="1"/>
  <c r="AO56" i="1"/>
  <c r="Z57" i="1"/>
  <c r="AA57" i="1"/>
  <c r="AB57" i="1"/>
  <c r="AC57" i="1"/>
  <c r="AD57" i="1"/>
  <c r="AE57" i="1"/>
  <c r="AF57" i="1"/>
  <c r="AG57" i="1"/>
  <c r="AH57" i="1"/>
  <c r="AI57" i="1"/>
  <c r="AJ57" i="1"/>
  <c r="AK57" i="1"/>
  <c r="AL57" i="1"/>
  <c r="AM57" i="1"/>
  <c r="AN57" i="1"/>
  <c r="AO57" i="1"/>
  <c r="Z58" i="1"/>
  <c r="AA58" i="1"/>
  <c r="AB58" i="1"/>
  <c r="AC58" i="1"/>
  <c r="AD58" i="1"/>
  <c r="AE58" i="1"/>
  <c r="AF58" i="1"/>
  <c r="AG58" i="1"/>
  <c r="AH58" i="1"/>
  <c r="AI58" i="1"/>
  <c r="AJ58" i="1"/>
  <c r="AK58" i="1"/>
  <c r="AL58" i="1"/>
  <c r="AM58" i="1"/>
  <c r="AN58" i="1"/>
  <c r="AO58" i="1"/>
  <c r="Z59" i="1"/>
  <c r="AA59" i="1"/>
  <c r="AB59" i="1"/>
  <c r="AC59" i="1"/>
  <c r="AD59" i="1"/>
  <c r="AE59" i="1"/>
  <c r="AF59" i="1"/>
  <c r="AG59" i="1"/>
  <c r="AH59" i="1"/>
  <c r="AI59" i="1"/>
  <c r="AJ59" i="1"/>
  <c r="AK59" i="1"/>
  <c r="AL59" i="1"/>
  <c r="AM59" i="1"/>
  <c r="AN59" i="1"/>
  <c r="AO59" i="1"/>
  <c r="Z60" i="1"/>
  <c r="AA60" i="1"/>
  <c r="AB60" i="1"/>
  <c r="AC60" i="1"/>
  <c r="AD60" i="1"/>
  <c r="AE60" i="1"/>
  <c r="AF60" i="1"/>
  <c r="AG60" i="1"/>
  <c r="AH60" i="1"/>
  <c r="AI60" i="1"/>
  <c r="AJ60" i="1"/>
  <c r="AK60" i="1"/>
  <c r="AL60" i="1"/>
  <c r="AM60" i="1"/>
  <c r="AN60" i="1"/>
  <c r="AO60" i="1"/>
  <c r="Z61" i="1"/>
  <c r="AA61" i="1"/>
  <c r="AB61" i="1"/>
  <c r="AC61" i="1"/>
  <c r="AD61" i="1"/>
  <c r="AE61" i="1"/>
  <c r="AF61" i="1"/>
  <c r="AG61" i="1"/>
  <c r="AH61" i="1"/>
  <c r="AI61" i="1"/>
  <c r="AJ61" i="1"/>
  <c r="AK61" i="1"/>
  <c r="AL61" i="1"/>
  <c r="AM61" i="1"/>
  <c r="AN61" i="1"/>
  <c r="AO61" i="1"/>
  <c r="Z46" i="1"/>
  <c r="AA46" i="1"/>
  <c r="AB46" i="1"/>
  <c r="AC46" i="1"/>
  <c r="AD46" i="1"/>
  <c r="AE46" i="1"/>
  <c r="AF46" i="1"/>
  <c r="AG46" i="1"/>
  <c r="AH46" i="1"/>
  <c r="AI46" i="1"/>
  <c r="AJ46" i="1"/>
  <c r="AK46" i="1"/>
  <c r="AL46" i="1"/>
  <c r="AM46" i="1"/>
  <c r="AN46" i="1"/>
  <c r="AO46" i="1"/>
  <c r="Z34" i="1"/>
  <c r="AA34" i="1"/>
  <c r="AB34" i="1"/>
  <c r="AC34" i="1"/>
  <c r="AD34" i="1"/>
  <c r="AE34" i="1"/>
  <c r="AF34" i="1"/>
  <c r="AG34" i="1"/>
  <c r="AH34" i="1"/>
  <c r="AI34" i="1"/>
  <c r="AJ34" i="1"/>
  <c r="AK34" i="1"/>
  <c r="AL34" i="1"/>
  <c r="AM34" i="1"/>
  <c r="AN34" i="1"/>
  <c r="AO34" i="1"/>
  <c r="Z43" i="1"/>
  <c r="AA43" i="1"/>
  <c r="AB43" i="1"/>
  <c r="AC43" i="1"/>
  <c r="AD43" i="1"/>
  <c r="AE43" i="1"/>
  <c r="AF43" i="1"/>
  <c r="AG43" i="1"/>
  <c r="AH43" i="1"/>
  <c r="AI43" i="1"/>
  <c r="AJ43" i="1"/>
  <c r="AK43" i="1"/>
  <c r="AL43" i="1"/>
  <c r="AM43" i="1"/>
  <c r="AN43" i="1"/>
  <c r="AO43" i="1"/>
  <c r="Z38" i="1"/>
  <c r="AA38" i="1"/>
  <c r="AB38" i="1"/>
  <c r="AC38" i="1"/>
  <c r="AD38" i="1"/>
  <c r="AE38" i="1"/>
  <c r="AF38" i="1"/>
  <c r="AG38" i="1"/>
  <c r="AH38" i="1"/>
  <c r="AI38" i="1"/>
  <c r="AJ38" i="1"/>
  <c r="AK38" i="1"/>
  <c r="AL38" i="1"/>
  <c r="AM38" i="1"/>
  <c r="AN38" i="1"/>
  <c r="AO38" i="1"/>
  <c r="Z49" i="1"/>
  <c r="AA49" i="1"/>
  <c r="AB49" i="1"/>
  <c r="AC49" i="1"/>
  <c r="AD49" i="1"/>
  <c r="AE49" i="1"/>
  <c r="AF49" i="1"/>
  <c r="AG49" i="1"/>
  <c r="AH49" i="1"/>
  <c r="AI49" i="1"/>
  <c r="AJ49" i="1"/>
  <c r="AK49" i="1"/>
  <c r="AL49" i="1"/>
  <c r="AM49" i="1"/>
  <c r="AN49" i="1"/>
  <c r="AO49" i="1"/>
  <c r="Z50" i="1"/>
  <c r="AA50" i="1"/>
  <c r="AB50" i="1"/>
  <c r="AC50" i="1"/>
  <c r="AD50" i="1"/>
  <c r="AE50" i="1"/>
  <c r="AF50" i="1"/>
  <c r="AG50" i="1"/>
  <c r="AH50" i="1"/>
  <c r="AI50" i="1"/>
  <c r="AJ50" i="1"/>
  <c r="AK50" i="1"/>
  <c r="AL50" i="1"/>
  <c r="AM50" i="1"/>
  <c r="AN50" i="1"/>
  <c r="AO50" i="1"/>
  <c r="Z51" i="1"/>
  <c r="AA51" i="1"/>
  <c r="AB51" i="1"/>
  <c r="AC51" i="1"/>
  <c r="AD51" i="1"/>
  <c r="AE51" i="1"/>
  <c r="AF51" i="1"/>
  <c r="AG51" i="1"/>
  <c r="AH51" i="1"/>
  <c r="AI51" i="1"/>
  <c r="AJ51" i="1"/>
  <c r="AK51" i="1"/>
  <c r="AL51" i="1"/>
  <c r="AM51" i="1"/>
  <c r="AN51" i="1"/>
  <c r="AO51" i="1"/>
  <c r="Z52" i="1"/>
  <c r="AA52" i="1"/>
  <c r="AB52" i="1"/>
  <c r="AC52" i="1"/>
  <c r="AE52" i="1"/>
  <c r="AF52" i="1"/>
  <c r="AG52" i="1"/>
  <c r="AH52" i="1"/>
  <c r="AI52" i="1"/>
  <c r="AJ52" i="1"/>
  <c r="AK52" i="1"/>
  <c r="AL52" i="1"/>
  <c r="AM52" i="1"/>
  <c r="AN52" i="1"/>
  <c r="AO52" i="1"/>
  <c r="Z53" i="1"/>
  <c r="AA53" i="1"/>
  <c r="AB53" i="1"/>
  <c r="AC53" i="1"/>
  <c r="AD53" i="1"/>
  <c r="AE53" i="1"/>
  <c r="AF53" i="1"/>
  <c r="AG53" i="1"/>
  <c r="AH53" i="1"/>
  <c r="AI53" i="1"/>
  <c r="AJ53" i="1"/>
  <c r="AK53" i="1"/>
  <c r="AL53" i="1"/>
  <c r="AM53" i="1"/>
  <c r="AN53" i="1"/>
  <c r="AO53" i="1"/>
  <c r="Z134" i="1"/>
  <c r="AA134" i="1"/>
  <c r="AB134" i="1"/>
  <c r="AC134" i="1"/>
  <c r="AD134" i="1"/>
  <c r="AE134" i="1"/>
  <c r="AF134" i="1"/>
  <c r="AG134" i="1"/>
  <c r="AH134" i="1"/>
  <c r="AI134" i="1"/>
  <c r="AJ134" i="1"/>
  <c r="AK134" i="1"/>
  <c r="AL134" i="1"/>
  <c r="AM134" i="1"/>
  <c r="AN134" i="1"/>
  <c r="AO134" i="1"/>
  <c r="Z132" i="1"/>
  <c r="AA132" i="1"/>
  <c r="AB132" i="1"/>
  <c r="AC132" i="1"/>
  <c r="AD132" i="1"/>
  <c r="AE132" i="1"/>
  <c r="AF132" i="1"/>
  <c r="AG132" i="1"/>
  <c r="AH132" i="1"/>
  <c r="AI132" i="1"/>
  <c r="AJ132" i="1"/>
  <c r="AK132" i="1"/>
  <c r="AL132" i="1"/>
  <c r="AM132" i="1"/>
  <c r="AN132" i="1"/>
  <c r="AO132" i="1"/>
  <c r="Z131" i="1"/>
  <c r="AA131" i="1"/>
  <c r="AB131" i="1"/>
  <c r="AC131" i="1"/>
  <c r="AD131" i="1"/>
  <c r="AE131" i="1"/>
  <c r="AF131" i="1"/>
  <c r="AG131" i="1"/>
  <c r="AH131" i="1"/>
  <c r="AI131" i="1"/>
  <c r="AJ131" i="1"/>
  <c r="AK131" i="1"/>
  <c r="AL131" i="1"/>
  <c r="AM131" i="1"/>
  <c r="AN131" i="1"/>
  <c r="AO131" i="1"/>
  <c r="Z130" i="1"/>
  <c r="AA130" i="1"/>
  <c r="AB130" i="1"/>
  <c r="AC130" i="1"/>
  <c r="AD130" i="1"/>
  <c r="AE130" i="1"/>
  <c r="AF130" i="1"/>
  <c r="AG130" i="1"/>
  <c r="AH130" i="1"/>
  <c r="AI130" i="1"/>
  <c r="AJ130" i="1"/>
  <c r="AK130" i="1"/>
  <c r="AL130" i="1"/>
  <c r="AM130" i="1"/>
  <c r="AN130" i="1"/>
  <c r="AO130" i="1"/>
  <c r="Z129" i="1"/>
  <c r="AA129" i="1"/>
  <c r="AB129" i="1"/>
  <c r="AC129" i="1"/>
  <c r="AD129" i="1"/>
  <c r="AE129" i="1"/>
  <c r="AF129" i="1"/>
  <c r="AG129" i="1"/>
  <c r="AH129" i="1"/>
  <c r="AI129" i="1"/>
  <c r="AJ129" i="1"/>
  <c r="AK129" i="1"/>
  <c r="AL129" i="1"/>
  <c r="AM129" i="1"/>
  <c r="AN129" i="1"/>
  <c r="AO129" i="1"/>
  <c r="Z133" i="1"/>
  <c r="AA133" i="1"/>
  <c r="AB133" i="1"/>
  <c r="AC133" i="1"/>
  <c r="AD133" i="1"/>
  <c r="AE133" i="1"/>
  <c r="AF133" i="1"/>
  <c r="AG133" i="1"/>
  <c r="AH133" i="1"/>
  <c r="AI133" i="1"/>
  <c r="AJ133" i="1"/>
  <c r="AK133" i="1"/>
  <c r="AL133" i="1"/>
  <c r="AM133" i="1"/>
  <c r="AN133" i="1"/>
  <c r="AO133" i="1"/>
  <c r="Z135" i="1"/>
  <c r="AA135" i="1"/>
  <c r="AB135" i="1"/>
  <c r="AC135" i="1"/>
  <c r="AD135" i="1"/>
  <c r="AE135" i="1"/>
  <c r="AF135" i="1"/>
  <c r="AG135" i="1"/>
  <c r="AH135" i="1"/>
  <c r="AI135" i="1"/>
  <c r="AJ135" i="1"/>
  <c r="AK135" i="1"/>
  <c r="AL135" i="1"/>
  <c r="AM135" i="1"/>
  <c r="AN135" i="1"/>
  <c r="AO135" i="1"/>
  <c r="Z143" i="1"/>
  <c r="AA143" i="1"/>
  <c r="AB143" i="1"/>
  <c r="AC143" i="1"/>
  <c r="AD143" i="1"/>
  <c r="AE143" i="1"/>
  <c r="AF143" i="1"/>
  <c r="AG143" i="1"/>
  <c r="AH143" i="1"/>
  <c r="AI143" i="1"/>
  <c r="AJ143" i="1"/>
  <c r="AK143" i="1"/>
  <c r="AL143" i="1"/>
  <c r="AM143" i="1"/>
  <c r="AN143" i="1"/>
  <c r="AO143" i="1"/>
  <c r="Z139" i="1"/>
  <c r="AA139" i="1"/>
  <c r="AB139" i="1"/>
  <c r="AC139" i="1"/>
  <c r="AD139" i="1"/>
  <c r="AE139" i="1"/>
  <c r="AF139" i="1"/>
  <c r="AG139" i="1"/>
  <c r="AH139" i="1"/>
  <c r="AI139" i="1"/>
  <c r="AJ139" i="1"/>
  <c r="AK139" i="1"/>
  <c r="AL139" i="1"/>
  <c r="AM139" i="1"/>
  <c r="AN139" i="1"/>
  <c r="AO139" i="1"/>
  <c r="Z147" i="1"/>
  <c r="AA147" i="1"/>
  <c r="AB147" i="1"/>
  <c r="AC147" i="1"/>
  <c r="AD147" i="1"/>
  <c r="AE147" i="1"/>
  <c r="AF147" i="1"/>
  <c r="AG147" i="1"/>
  <c r="AH147" i="1"/>
  <c r="AI147" i="1"/>
  <c r="AJ147" i="1"/>
  <c r="AK147" i="1"/>
  <c r="AL147" i="1"/>
  <c r="AM147" i="1"/>
  <c r="AN147" i="1"/>
  <c r="AO147" i="1"/>
  <c r="Z146" i="1"/>
  <c r="AA146" i="1"/>
  <c r="AB146" i="1"/>
  <c r="AC146" i="1"/>
  <c r="AD146" i="1"/>
  <c r="AE146" i="1"/>
  <c r="AF146" i="1"/>
  <c r="AG146" i="1"/>
  <c r="AH146" i="1"/>
  <c r="AI146" i="1"/>
  <c r="AJ146" i="1"/>
  <c r="AK146" i="1"/>
  <c r="AL146" i="1"/>
  <c r="AM146" i="1"/>
  <c r="AN146" i="1"/>
  <c r="AO146" i="1"/>
  <c r="Z137" i="1"/>
  <c r="AA137" i="1"/>
  <c r="AB137" i="1"/>
  <c r="AC137" i="1"/>
  <c r="AD137" i="1"/>
  <c r="AE137" i="1"/>
  <c r="AF137" i="1"/>
  <c r="AG137" i="1"/>
  <c r="AH137" i="1"/>
  <c r="AI137" i="1"/>
  <c r="AJ137" i="1"/>
  <c r="AK137" i="1"/>
  <c r="AL137" i="1"/>
  <c r="AM137" i="1"/>
  <c r="AN137" i="1"/>
  <c r="AO137" i="1"/>
  <c r="Z62" i="1"/>
  <c r="AA62" i="1"/>
  <c r="AB62" i="1"/>
  <c r="AC62" i="1"/>
  <c r="AD62" i="1"/>
  <c r="AE62" i="1"/>
  <c r="AF62" i="1"/>
  <c r="AG62" i="1"/>
  <c r="AH62" i="1"/>
  <c r="AI62" i="1"/>
  <c r="AJ62" i="1"/>
  <c r="AK62" i="1"/>
  <c r="AL62" i="1"/>
  <c r="AM62" i="1"/>
  <c r="AN62" i="1"/>
  <c r="AO62" i="1"/>
  <c r="Z63" i="1"/>
  <c r="AA63" i="1"/>
  <c r="AB63" i="1"/>
  <c r="AC63" i="1"/>
  <c r="AD63" i="1"/>
  <c r="AE63" i="1"/>
  <c r="AF63" i="1"/>
  <c r="AG63" i="1"/>
  <c r="AH63" i="1"/>
  <c r="AI63" i="1"/>
  <c r="AJ63" i="1"/>
  <c r="AK63" i="1"/>
  <c r="AL63" i="1"/>
  <c r="AM63" i="1"/>
  <c r="AN63" i="1"/>
  <c r="AO63" i="1"/>
  <c r="Z64" i="1"/>
  <c r="AA64" i="1"/>
  <c r="AB64" i="1"/>
  <c r="AC64" i="1"/>
  <c r="AD64" i="1"/>
  <c r="AE64" i="1"/>
  <c r="AF64" i="1"/>
  <c r="AG64" i="1"/>
  <c r="AH64" i="1"/>
  <c r="AI64" i="1"/>
  <c r="AJ64" i="1"/>
  <c r="AK64" i="1"/>
  <c r="AL64" i="1"/>
  <c r="AM64" i="1"/>
  <c r="AN64" i="1"/>
  <c r="AO64" i="1"/>
  <c r="Z65" i="1"/>
  <c r="AA65" i="1"/>
  <c r="AB65" i="1"/>
  <c r="AC65" i="1"/>
  <c r="AD65" i="1"/>
  <c r="AE65" i="1"/>
  <c r="AF65" i="1"/>
  <c r="AG65" i="1"/>
  <c r="AH65" i="1"/>
  <c r="AI65" i="1"/>
  <c r="AJ65" i="1"/>
  <c r="AK65" i="1"/>
  <c r="AL65" i="1"/>
  <c r="AM65" i="1"/>
  <c r="AN65" i="1"/>
  <c r="AO65" i="1"/>
  <c r="Z66" i="1"/>
  <c r="AA66" i="1"/>
  <c r="AB66" i="1"/>
  <c r="AC66" i="1"/>
  <c r="AD66" i="1"/>
  <c r="AE66" i="1"/>
  <c r="AF66" i="1"/>
  <c r="AG66" i="1"/>
  <c r="AH66" i="1"/>
  <c r="AI66" i="1"/>
  <c r="AJ66" i="1"/>
  <c r="AK66" i="1"/>
  <c r="AL66" i="1"/>
  <c r="AM66" i="1"/>
  <c r="AN66" i="1"/>
  <c r="AO66" i="1"/>
  <c r="Z39" i="1"/>
  <c r="AA39" i="1"/>
  <c r="AB39" i="1"/>
  <c r="AC39" i="1"/>
  <c r="AD39" i="1"/>
  <c r="AE39" i="1"/>
  <c r="AF39" i="1"/>
  <c r="AG39" i="1"/>
  <c r="AH39" i="1"/>
  <c r="AI39" i="1"/>
  <c r="AJ39" i="1"/>
  <c r="AK39" i="1"/>
  <c r="AL39" i="1"/>
  <c r="AM39" i="1"/>
  <c r="AN39" i="1"/>
  <c r="AO39" i="1"/>
  <c r="Z44" i="1"/>
  <c r="AA44" i="1"/>
  <c r="AB44" i="1"/>
  <c r="AC44" i="1"/>
  <c r="AD44" i="1"/>
  <c r="AE44" i="1"/>
  <c r="AF44" i="1"/>
  <c r="AG44" i="1"/>
  <c r="AH44" i="1"/>
  <c r="AI44" i="1"/>
  <c r="AJ44" i="1"/>
  <c r="AK44" i="1"/>
  <c r="AL44" i="1"/>
  <c r="AM44" i="1"/>
  <c r="AN44" i="1"/>
  <c r="AO44" i="1"/>
  <c r="Z67" i="1"/>
  <c r="AA67" i="1"/>
  <c r="AB67" i="1"/>
  <c r="AC67" i="1"/>
  <c r="AD67" i="1"/>
  <c r="AE67" i="1"/>
  <c r="AF67" i="1"/>
  <c r="AG67" i="1"/>
  <c r="AH67" i="1"/>
  <c r="AI67" i="1"/>
  <c r="AJ67" i="1"/>
  <c r="AK67" i="1"/>
  <c r="AL67" i="1"/>
  <c r="AM67" i="1"/>
  <c r="AN67" i="1"/>
  <c r="AO67" i="1"/>
  <c r="Z68" i="1"/>
  <c r="AA68" i="1"/>
  <c r="AB68" i="1"/>
  <c r="AC68" i="1"/>
  <c r="AD68" i="1"/>
  <c r="AE68" i="1"/>
  <c r="AF68" i="1"/>
  <c r="AG68" i="1"/>
  <c r="AH68" i="1"/>
  <c r="AI68" i="1"/>
  <c r="AJ68" i="1"/>
  <c r="AK68" i="1"/>
  <c r="AL68" i="1"/>
  <c r="AM68" i="1"/>
  <c r="AN68" i="1"/>
  <c r="AO68" i="1"/>
  <c r="Z75" i="1"/>
  <c r="AA75" i="1"/>
  <c r="AB75" i="1"/>
  <c r="AC75" i="1"/>
  <c r="AD75" i="1"/>
  <c r="AE75" i="1"/>
  <c r="AF75" i="1"/>
  <c r="AG75" i="1"/>
  <c r="AH75" i="1"/>
  <c r="AI75" i="1"/>
  <c r="AJ75" i="1"/>
  <c r="AK75" i="1"/>
  <c r="AL75" i="1"/>
  <c r="AM75" i="1"/>
  <c r="AN75" i="1"/>
  <c r="AO75" i="1"/>
  <c r="Z76" i="1"/>
  <c r="AA76" i="1"/>
  <c r="AB76" i="1"/>
  <c r="AC76" i="1"/>
  <c r="AD76" i="1"/>
  <c r="AE76" i="1"/>
  <c r="AF76" i="1"/>
  <c r="AG76" i="1"/>
  <c r="AH76" i="1"/>
  <c r="AI76" i="1"/>
  <c r="AJ76" i="1"/>
  <c r="AK76" i="1"/>
  <c r="AL76" i="1"/>
  <c r="AM76" i="1"/>
  <c r="AN76" i="1"/>
  <c r="AO76" i="1"/>
  <c r="Z77" i="1"/>
  <c r="AA77" i="1"/>
  <c r="AB77" i="1"/>
  <c r="AC77" i="1"/>
  <c r="AD77" i="1"/>
  <c r="AE77" i="1"/>
  <c r="AF77" i="1"/>
  <c r="AG77" i="1"/>
  <c r="AH77" i="1"/>
  <c r="AI77" i="1"/>
  <c r="AJ77" i="1"/>
  <c r="AK77" i="1"/>
  <c r="AL77" i="1"/>
  <c r="AM77" i="1"/>
  <c r="AN77" i="1"/>
  <c r="AO77" i="1"/>
  <c r="Z78" i="1"/>
  <c r="AA78" i="1"/>
  <c r="AB78" i="1"/>
  <c r="AC78" i="1"/>
  <c r="AD78" i="1"/>
  <c r="AE78" i="1"/>
  <c r="AF78" i="1"/>
  <c r="AG78" i="1"/>
  <c r="AH78" i="1"/>
  <c r="AI78" i="1"/>
  <c r="AJ78" i="1"/>
  <c r="AK78" i="1"/>
  <c r="AL78" i="1"/>
  <c r="AM78" i="1"/>
  <c r="AN78" i="1"/>
  <c r="AO78" i="1"/>
  <c r="Z79" i="1"/>
  <c r="AA79" i="1"/>
  <c r="AB79" i="1"/>
  <c r="AC79" i="1"/>
  <c r="AD79" i="1"/>
  <c r="AE79" i="1"/>
  <c r="AF79" i="1"/>
  <c r="AG79" i="1"/>
  <c r="AH79" i="1"/>
  <c r="AI79" i="1"/>
  <c r="AJ79" i="1"/>
  <c r="AK79" i="1"/>
  <c r="AL79" i="1"/>
  <c r="AM79" i="1"/>
  <c r="AN79" i="1"/>
  <c r="AO79" i="1"/>
  <c r="Z80" i="1"/>
  <c r="AA80" i="1"/>
  <c r="AB80" i="1"/>
  <c r="AC80" i="1"/>
  <c r="AD80" i="1"/>
  <c r="AE80" i="1"/>
  <c r="AF80" i="1"/>
  <c r="AG80" i="1"/>
  <c r="AH80" i="1"/>
  <c r="AI80" i="1"/>
  <c r="AJ80" i="1"/>
  <c r="AK80" i="1"/>
  <c r="AL80" i="1"/>
  <c r="AM80" i="1"/>
  <c r="AN80" i="1"/>
  <c r="AO80" i="1"/>
  <c r="Z81" i="1"/>
  <c r="AA81" i="1"/>
  <c r="AB81" i="1"/>
  <c r="AC81" i="1"/>
  <c r="AD81" i="1"/>
  <c r="AE81" i="1"/>
  <c r="AF81" i="1"/>
  <c r="AG81" i="1"/>
  <c r="AH81" i="1"/>
  <c r="AI81" i="1"/>
  <c r="AJ81" i="1"/>
  <c r="AK81" i="1"/>
  <c r="AL81" i="1"/>
  <c r="AM81" i="1"/>
  <c r="AN81" i="1"/>
  <c r="AO81" i="1"/>
  <c r="Z82" i="1"/>
  <c r="AA82" i="1"/>
  <c r="AB82" i="1"/>
  <c r="AC82" i="1"/>
  <c r="AD82" i="1"/>
  <c r="AE82" i="1"/>
  <c r="AF82" i="1"/>
  <c r="AG82" i="1"/>
  <c r="AH82" i="1"/>
  <c r="AI82" i="1"/>
  <c r="AJ82" i="1"/>
  <c r="AK82" i="1"/>
  <c r="AL82" i="1"/>
  <c r="AM82" i="1"/>
  <c r="AN82" i="1"/>
  <c r="AO82" i="1"/>
  <c r="Z69" i="1"/>
  <c r="AA69" i="1"/>
  <c r="AB69" i="1"/>
  <c r="AC69" i="1"/>
  <c r="AD69" i="1"/>
  <c r="AE69" i="1"/>
  <c r="AF69" i="1"/>
  <c r="AG69" i="1"/>
  <c r="AH69" i="1"/>
  <c r="AI69" i="1"/>
  <c r="AJ69" i="1"/>
  <c r="AK69" i="1"/>
  <c r="AL69" i="1"/>
  <c r="AM69" i="1"/>
  <c r="AN69" i="1"/>
  <c r="AO69" i="1"/>
  <c r="Z70" i="1"/>
  <c r="AA70" i="1"/>
  <c r="AB70" i="1"/>
  <c r="AC70" i="1"/>
  <c r="AD70" i="1"/>
  <c r="AE70" i="1"/>
  <c r="AF70" i="1"/>
  <c r="AG70" i="1"/>
  <c r="AH70" i="1"/>
  <c r="AI70" i="1"/>
  <c r="AJ70" i="1"/>
  <c r="AK70" i="1"/>
  <c r="AL70" i="1"/>
  <c r="AM70" i="1"/>
  <c r="AN70" i="1"/>
  <c r="AO70" i="1"/>
  <c r="Z71" i="1"/>
  <c r="AA71" i="1"/>
  <c r="AB71" i="1"/>
  <c r="AC71" i="1"/>
  <c r="AD71" i="1"/>
  <c r="AE71" i="1"/>
  <c r="AF71" i="1"/>
  <c r="AG71" i="1"/>
  <c r="AH71" i="1"/>
  <c r="AI71" i="1"/>
  <c r="AJ71" i="1"/>
  <c r="AK71" i="1"/>
  <c r="AL71" i="1"/>
  <c r="AM71" i="1"/>
  <c r="AN71" i="1"/>
  <c r="AO71" i="1"/>
  <c r="Z72" i="1"/>
  <c r="AA72" i="1"/>
  <c r="AB72" i="1"/>
  <c r="AC72" i="1"/>
  <c r="AD72" i="1"/>
  <c r="AE72" i="1"/>
  <c r="AF72" i="1"/>
  <c r="AG72" i="1"/>
  <c r="AH72" i="1"/>
  <c r="AI72" i="1"/>
  <c r="AJ72" i="1"/>
  <c r="AK72" i="1"/>
  <c r="AL72" i="1"/>
  <c r="AM72" i="1"/>
  <c r="AN72" i="1"/>
  <c r="AO72" i="1"/>
  <c r="Z73" i="1"/>
  <c r="AA73" i="1"/>
  <c r="AB73" i="1"/>
  <c r="AC73" i="1"/>
  <c r="AD73" i="1"/>
  <c r="AE73" i="1"/>
  <c r="AF73" i="1"/>
  <c r="AG73" i="1"/>
  <c r="AH73" i="1"/>
  <c r="AI73" i="1"/>
  <c r="AJ73" i="1"/>
  <c r="AK73" i="1"/>
  <c r="AL73" i="1"/>
  <c r="AM73" i="1"/>
  <c r="AN73" i="1"/>
  <c r="AO73" i="1"/>
  <c r="Z144" i="1"/>
  <c r="AA144" i="1"/>
  <c r="AB144" i="1"/>
  <c r="AC144" i="1"/>
  <c r="AD144" i="1"/>
  <c r="AE144" i="1"/>
  <c r="AF144" i="1"/>
  <c r="AG144" i="1"/>
  <c r="AH144" i="1"/>
  <c r="AI144" i="1"/>
  <c r="AJ144" i="1"/>
  <c r="AK144" i="1"/>
  <c r="AL144" i="1"/>
  <c r="AM144" i="1"/>
  <c r="AN144" i="1"/>
  <c r="AO144" i="1"/>
  <c r="Z140" i="1"/>
  <c r="AA140" i="1"/>
  <c r="AB140" i="1"/>
  <c r="AC140" i="1"/>
  <c r="AD140" i="1"/>
  <c r="AE140" i="1"/>
  <c r="AF140" i="1"/>
  <c r="AG140" i="1"/>
  <c r="AH140" i="1"/>
  <c r="AI140" i="1"/>
  <c r="AJ140" i="1"/>
  <c r="AK140" i="1"/>
  <c r="AL140" i="1"/>
  <c r="AM140" i="1"/>
  <c r="AN140" i="1"/>
  <c r="AO140" i="1"/>
  <c r="Z74" i="1"/>
  <c r="AA74" i="1"/>
  <c r="AB74" i="1"/>
  <c r="AC74" i="1"/>
  <c r="AD74" i="1"/>
  <c r="AE74" i="1"/>
  <c r="AF74" i="1"/>
  <c r="AG74" i="1"/>
  <c r="AH74" i="1"/>
  <c r="AI74" i="1"/>
  <c r="AJ74" i="1"/>
  <c r="AK74" i="1"/>
  <c r="AL74" i="1"/>
  <c r="AM74" i="1"/>
  <c r="AN74" i="1"/>
  <c r="AO74" i="1"/>
  <c r="Z83" i="1"/>
  <c r="AA83" i="1"/>
  <c r="AB83" i="1"/>
  <c r="AC83" i="1"/>
  <c r="AD83" i="1"/>
  <c r="AE83" i="1"/>
  <c r="AF83" i="1"/>
  <c r="AG83" i="1"/>
  <c r="AH83" i="1"/>
  <c r="AI83" i="1"/>
  <c r="AJ83" i="1"/>
  <c r="AK83" i="1"/>
  <c r="AL83" i="1"/>
  <c r="AM83" i="1"/>
  <c r="AN83" i="1"/>
  <c r="AO83" i="1"/>
  <c r="Z84" i="1"/>
  <c r="AA84" i="1"/>
  <c r="AB84" i="1"/>
  <c r="AC84" i="1"/>
  <c r="AD84" i="1"/>
  <c r="AE84" i="1"/>
  <c r="AF84" i="1"/>
  <c r="AG84" i="1"/>
  <c r="AH84" i="1"/>
  <c r="AI84" i="1"/>
  <c r="AJ84" i="1"/>
  <c r="AK84" i="1"/>
  <c r="AL84" i="1"/>
  <c r="AM84" i="1"/>
  <c r="AN84" i="1"/>
  <c r="AO84" i="1"/>
  <c r="Z90" i="1"/>
  <c r="AA90" i="1"/>
  <c r="AB90" i="1"/>
  <c r="AC90" i="1"/>
  <c r="AD90" i="1"/>
  <c r="AE90" i="1"/>
  <c r="AF90" i="1"/>
  <c r="AG90" i="1"/>
  <c r="AH90" i="1"/>
  <c r="AI90" i="1"/>
  <c r="AJ90" i="1"/>
  <c r="AK90" i="1"/>
  <c r="AL90" i="1"/>
  <c r="AM90" i="1"/>
  <c r="AN90" i="1"/>
  <c r="AO90" i="1"/>
  <c r="Z91" i="1"/>
  <c r="AA91" i="1"/>
  <c r="AB91" i="1"/>
  <c r="AC91" i="1"/>
  <c r="AD91" i="1"/>
  <c r="AE91" i="1"/>
  <c r="AF91" i="1"/>
  <c r="AG91" i="1"/>
  <c r="AH91" i="1"/>
  <c r="AI91" i="1"/>
  <c r="AJ91" i="1"/>
  <c r="AK91" i="1"/>
  <c r="AL91" i="1"/>
  <c r="AM91" i="1"/>
  <c r="AN91" i="1"/>
  <c r="AO91" i="1"/>
  <c r="Z92" i="1"/>
  <c r="AA92" i="1"/>
  <c r="AB92" i="1"/>
  <c r="AC92" i="1"/>
  <c r="AD92" i="1"/>
  <c r="AE92" i="1"/>
  <c r="AF92" i="1"/>
  <c r="AG92" i="1"/>
  <c r="AH92" i="1"/>
  <c r="AI92" i="1"/>
  <c r="AJ92" i="1"/>
  <c r="AK92" i="1"/>
  <c r="AL92" i="1"/>
  <c r="AM92" i="1"/>
  <c r="AN92" i="1"/>
  <c r="AO92" i="1"/>
  <c r="Z93" i="1"/>
  <c r="AA93" i="1"/>
  <c r="AB93" i="1"/>
  <c r="AC93" i="1"/>
  <c r="AD93" i="1"/>
  <c r="AE93" i="1"/>
  <c r="AF93" i="1"/>
  <c r="AG93" i="1"/>
  <c r="AH93" i="1"/>
  <c r="AI93" i="1"/>
  <c r="AJ93" i="1"/>
  <c r="AK93" i="1"/>
  <c r="AL93" i="1"/>
  <c r="AM93" i="1"/>
  <c r="AN93" i="1"/>
  <c r="AO93" i="1"/>
  <c r="Z45" i="1"/>
  <c r="AA45" i="1"/>
  <c r="AB45" i="1"/>
  <c r="AC45" i="1"/>
  <c r="AD45" i="1"/>
  <c r="AE45" i="1"/>
  <c r="AF45" i="1"/>
  <c r="AG45" i="1"/>
  <c r="AH45" i="1"/>
  <c r="AI45" i="1"/>
  <c r="AJ45" i="1"/>
  <c r="AK45" i="1"/>
  <c r="AL45" i="1"/>
  <c r="AM45" i="1"/>
  <c r="AN45" i="1"/>
  <c r="AO45" i="1"/>
  <c r="Z40" i="1"/>
  <c r="AA40" i="1"/>
  <c r="AB40" i="1"/>
  <c r="AC40" i="1"/>
  <c r="AD40" i="1"/>
  <c r="AE40" i="1"/>
  <c r="AF40" i="1"/>
  <c r="AG40" i="1"/>
  <c r="AH40" i="1"/>
  <c r="AI40" i="1"/>
  <c r="AJ40" i="1"/>
  <c r="AK40" i="1"/>
  <c r="AL40" i="1"/>
  <c r="AM40" i="1"/>
  <c r="AN40" i="1"/>
  <c r="AO40" i="1"/>
  <c r="Z94" i="1"/>
  <c r="AA94" i="1"/>
  <c r="AB94" i="1"/>
  <c r="AC94" i="1"/>
  <c r="AD94" i="1"/>
  <c r="AE94" i="1"/>
  <c r="AF94" i="1"/>
  <c r="AG94" i="1"/>
  <c r="AH94" i="1"/>
  <c r="AI94" i="1"/>
  <c r="AJ94" i="1"/>
  <c r="AK94" i="1"/>
  <c r="AL94" i="1"/>
  <c r="AM94" i="1"/>
  <c r="AN94" i="1"/>
  <c r="AO94" i="1"/>
  <c r="Z95" i="1"/>
  <c r="AA95" i="1"/>
  <c r="AB95" i="1"/>
  <c r="AC95" i="1"/>
  <c r="AD95" i="1"/>
  <c r="AE95" i="1"/>
  <c r="AF95" i="1"/>
  <c r="AG95" i="1"/>
  <c r="AH95" i="1"/>
  <c r="AI95" i="1"/>
  <c r="AJ95" i="1"/>
  <c r="AK95" i="1"/>
  <c r="AL95" i="1"/>
  <c r="AM95" i="1"/>
  <c r="AN95" i="1"/>
  <c r="AO95" i="1"/>
  <c r="Z96" i="1"/>
  <c r="AA96" i="1"/>
  <c r="AB96" i="1"/>
  <c r="AC96" i="1"/>
  <c r="AD96" i="1"/>
  <c r="AE96" i="1"/>
  <c r="AF96" i="1"/>
  <c r="AG96" i="1"/>
  <c r="AH96" i="1"/>
  <c r="AI96" i="1"/>
  <c r="AJ96" i="1"/>
  <c r="AK96" i="1"/>
  <c r="AL96" i="1"/>
  <c r="AM96" i="1"/>
  <c r="AN96" i="1"/>
  <c r="AO96" i="1"/>
  <c r="Z97" i="1"/>
  <c r="AA97" i="1"/>
  <c r="AB97" i="1"/>
  <c r="AC97" i="1"/>
  <c r="AD97" i="1"/>
  <c r="AE97" i="1"/>
  <c r="AF97" i="1"/>
  <c r="AG97" i="1"/>
  <c r="AH97" i="1"/>
  <c r="AI97" i="1"/>
  <c r="AJ97" i="1"/>
  <c r="AK97" i="1"/>
  <c r="AL97" i="1"/>
  <c r="AM97" i="1"/>
  <c r="AN97" i="1"/>
  <c r="AO97" i="1"/>
  <c r="Z85" i="1"/>
  <c r="AA85" i="1"/>
  <c r="AB85" i="1"/>
  <c r="AC85" i="1"/>
  <c r="AD85" i="1"/>
  <c r="AE85" i="1"/>
  <c r="AF85" i="1"/>
  <c r="AG85" i="1"/>
  <c r="AH85" i="1"/>
  <c r="AI85" i="1"/>
  <c r="AJ85" i="1"/>
  <c r="AK85" i="1"/>
  <c r="AL85" i="1"/>
  <c r="AM85" i="1"/>
  <c r="AN85" i="1"/>
  <c r="AO85" i="1"/>
  <c r="Z87" i="1"/>
  <c r="AA87" i="1"/>
  <c r="AB87" i="1"/>
  <c r="AC87" i="1"/>
  <c r="AD87" i="1"/>
  <c r="AE87" i="1"/>
  <c r="AF87" i="1"/>
  <c r="AG87" i="1"/>
  <c r="AH87" i="1"/>
  <c r="AI87" i="1"/>
  <c r="AJ87" i="1"/>
  <c r="AK87" i="1"/>
  <c r="AL87" i="1"/>
  <c r="AM87" i="1"/>
  <c r="AN87" i="1"/>
  <c r="AO87" i="1"/>
  <c r="Z88" i="1"/>
  <c r="AA88" i="1"/>
  <c r="AB88" i="1"/>
  <c r="AC88" i="1"/>
  <c r="AD88" i="1"/>
  <c r="AE88" i="1"/>
  <c r="AF88" i="1"/>
  <c r="AG88" i="1"/>
  <c r="AH88" i="1"/>
  <c r="AI88" i="1"/>
  <c r="AJ88" i="1"/>
  <c r="AK88" i="1"/>
  <c r="AL88" i="1"/>
  <c r="AM88" i="1"/>
  <c r="AN88" i="1"/>
  <c r="AO88" i="1"/>
  <c r="Z141" i="1"/>
  <c r="AA141" i="1"/>
  <c r="AB141" i="1"/>
  <c r="AC141" i="1"/>
  <c r="AD141" i="1"/>
  <c r="AE141" i="1"/>
  <c r="AF141" i="1"/>
  <c r="AG141" i="1"/>
  <c r="AH141" i="1"/>
  <c r="AI141" i="1"/>
  <c r="AJ141" i="1"/>
  <c r="AK141" i="1"/>
  <c r="AL141" i="1"/>
  <c r="AM141" i="1"/>
  <c r="AN141" i="1"/>
  <c r="AO141" i="1"/>
  <c r="Z145" i="1"/>
  <c r="AA145" i="1"/>
  <c r="AB145" i="1"/>
  <c r="AC145" i="1"/>
  <c r="AD145" i="1"/>
  <c r="AE145" i="1"/>
  <c r="AF145" i="1"/>
  <c r="AG145" i="1"/>
  <c r="AH145" i="1"/>
  <c r="AI145" i="1"/>
  <c r="AJ145" i="1"/>
  <c r="AK145" i="1"/>
  <c r="AL145" i="1"/>
  <c r="AM145" i="1"/>
  <c r="AN145" i="1"/>
  <c r="AO145" i="1"/>
  <c r="Z35" i="1"/>
  <c r="AA35" i="1"/>
  <c r="AB35" i="1"/>
  <c r="AC35" i="1"/>
  <c r="AD35" i="1"/>
  <c r="AE35" i="1"/>
  <c r="AF35" i="1"/>
  <c r="AG35" i="1"/>
  <c r="AH35" i="1"/>
  <c r="AI35" i="1"/>
  <c r="AJ35" i="1"/>
  <c r="AK35" i="1"/>
  <c r="AL35" i="1"/>
  <c r="AM35" i="1"/>
  <c r="AN35" i="1"/>
  <c r="AO35" i="1"/>
  <c r="AO89" i="1"/>
  <c r="AN89" i="1"/>
  <c r="AM89" i="1"/>
  <c r="AL89" i="1"/>
  <c r="AK89" i="1"/>
  <c r="AJ89" i="1"/>
  <c r="AI89" i="1"/>
  <c r="AH89" i="1"/>
  <c r="Z89" i="1"/>
  <c r="AG89" i="1"/>
  <c r="AF89" i="1"/>
  <c r="AE89" i="1"/>
  <c r="AD89" i="1"/>
  <c r="AC89" i="1"/>
  <c r="AB89" i="1"/>
  <c r="AA89" i="1"/>
  <c r="B3" i="1" l="1"/>
</calcChain>
</file>

<file path=xl/sharedStrings.xml><?xml version="1.0" encoding="utf-8"?>
<sst xmlns="http://schemas.openxmlformats.org/spreadsheetml/2006/main" count="3429" uniqueCount="766">
  <si>
    <t>X1</t>
  </si>
  <si>
    <t>Multiplex Options</t>
  </si>
  <si>
    <t>Index</t>
  </si>
  <si>
    <t>144
Pin</t>
  </si>
  <si>
    <t>Pin Use</t>
  </si>
  <si>
    <t>Port Use</t>
  </si>
  <si>
    <t>--</t>
  </si>
  <si>
    <t>CAN1_RX</t>
  </si>
  <si>
    <t>RSCAN0RX0</t>
  </si>
  <si>
    <t>CSIH2SI, CSIH3CSS6, INTP5, P2_0, RSCAN0RX0, TAUD2I11, TAUD2O11</t>
  </si>
  <si>
    <t>CAN1_TX</t>
  </si>
  <si>
    <t>RSCAN0TX0</t>
  </si>
  <si>
    <t>CSIH2SO, CSIH3CSS7, P2_1, RSCAN0TX0, TAUD2I12, TAUD2O12, TSG30O7</t>
  </si>
  <si>
    <t>CSIH1CSS4, CSIH2CSS0, CSIH2RYO, ENCA0TIN0, FLX0CLK, INTP6, P4_7, RSCAN0RX1, TAUD1O0, TAUD2I4, TAUD2O4, TSG31CLKI</t>
  </si>
  <si>
    <t>CSIH2CSS0, CSIH2RYI, P2_3, RSCAN0TX1, TAUD2I14, TAUD2O14, TPB1O, TSG30O1, TSG30ODI1</t>
  </si>
  <si>
    <t>CSIH1CSS5, CSIH1SSI, CSIH2CSS1, ENCA0TIN1, FLX0RXDA, INTP11, P4_8, TAUD1O1, TAUD2I5, TAUD2O5</t>
  </si>
  <si>
    <t>CSIH1CSS6, CSIH1RYI, CSIH2CSS2, ENCA1TIN0, FLX0TXDA, P4_9, TAUD1O2, TAUD2I6, TAUD2O6</t>
  </si>
  <si>
    <t>CSIH1CSS7, CSIH1RYO, CSIH2CSS3, ENCA1TIN1, FLX0TXENA, P4_10, TAUD1O3, TAUD2I7, TAUD2O7</t>
  </si>
  <si>
    <t>CSIG0RYO, CSIH2CSS2, CSIH3CSS3, INTP2, INTP3, P3_4, RLIN30RX, SCI32RX, TAUD1I2, TAUD1O2, TAUD1O3, TAUD1ODI2, TAUD1ODI3</t>
  </si>
  <si>
    <t>CSIH2CSS6, FLX0STPWT, P4_14, TAUD1O7, TAUD2I11, TAUD2O11, TAUJ1I3, TAUJ1O3</t>
  </si>
  <si>
    <t>ADC Diagnostic</t>
  </si>
  <si>
    <t>ADCD1I0</t>
  </si>
  <si>
    <t>Battery - Filtered</t>
  </si>
  <si>
    <t>ADCD1I1</t>
  </si>
  <si>
    <t>Controller Temperature</t>
  </si>
  <si>
    <t>ADCD1I2</t>
  </si>
  <si>
    <t>ADCD1I3</t>
  </si>
  <si>
    <t>ADCD1I4</t>
  </si>
  <si>
    <t>ADCD1I5</t>
  </si>
  <si>
    <t>ADCD1I6</t>
  </si>
  <si>
    <t>ADCD1I7</t>
  </si>
  <si>
    <t>ADCD1I8</t>
  </si>
  <si>
    <t>Battery - Switched 1</t>
  </si>
  <si>
    <t>ADCD1I9</t>
  </si>
  <si>
    <t>ADCD1I10</t>
  </si>
  <si>
    <t>Battery - Switched 2</t>
  </si>
  <si>
    <t>ADCD1I11</t>
  </si>
  <si>
    <t>ADCD0I0</t>
  </si>
  <si>
    <t>Shunt Current Reference - Inverter 1</t>
  </si>
  <si>
    <t>ADCD0I1</t>
  </si>
  <si>
    <t>Shunt Current A</t>
  </si>
  <si>
    <t>ADCD0I2</t>
  </si>
  <si>
    <t>Shunt Current B</t>
  </si>
  <si>
    <t>ADCD0I3</t>
  </si>
  <si>
    <t>Shunt Current C</t>
  </si>
  <si>
    <t>ADCD0I4</t>
  </si>
  <si>
    <t>ADCD0I5</t>
  </si>
  <si>
    <t>ADCD0I6</t>
  </si>
  <si>
    <t>ADCD0I7</t>
  </si>
  <si>
    <t>Shunt Current Reference - Inverter 2</t>
  </si>
  <si>
    <t>ADCD0I8</t>
  </si>
  <si>
    <t>Shunt Current D</t>
  </si>
  <si>
    <t>ADCD0I9</t>
  </si>
  <si>
    <t>Shunt Current E</t>
  </si>
  <si>
    <t>ADCD0I10</t>
  </si>
  <si>
    <t>Shunt Current F</t>
  </si>
  <si>
    <t>ADCD0I11</t>
  </si>
  <si>
    <t>A0VCC</t>
  </si>
  <si>
    <t>Pwr/Gnd</t>
  </si>
  <si>
    <t>A1VCC</t>
  </si>
  <si>
    <t>A0VSS</t>
  </si>
  <si>
    <t>A1VSS</t>
  </si>
  <si>
    <t>A0VREFH</t>
  </si>
  <si>
    <t>A1VREFH</t>
  </si>
  <si>
    <t>CSIH1CSS3, CSIH2SCI, CSIH2SCO, ENCA1EC, FLX0TXENB, P4_6, RSCAN0TX0, SCI30TX, TAUD2I3, TAUD2O3, TSG31PTSI2</t>
  </si>
  <si>
    <t>GA_UPPER</t>
  </si>
  <si>
    <t>TSG31O1</t>
  </si>
  <si>
    <t>CSIH0SO, CSIH2CSS5, CSIH2RYI, INTP0, INTP5, P3_7, RSCAN0RX0, SCI30RX, TAUD0O5, TAUD0ODI5, TSG31O1, TSG31ODI1</t>
  </si>
  <si>
    <t>GA_LOWER</t>
  </si>
  <si>
    <t>TSG31O2</t>
  </si>
  <si>
    <t>CSIH0SCI, CSIH0SCO, CSIH0SSI, CSIH2CSS6, P3_8, RSCAN0TX0, TAUD0O7, TAUD0ODI7, TPB1O, TSG31O2, TSG31ODI2</t>
  </si>
  <si>
    <t>GB_UPPER</t>
  </si>
  <si>
    <t>TSG31O3</t>
  </si>
  <si>
    <t>CSIH0RYI, CSIH2CSS7, CSIH3CSS5, P3_9, SCI32SCI, SCI32SCO, TAUD0O9, TAUD0ODI9, TSG31O3, TSG31ODI3</t>
  </si>
  <si>
    <t>GB_LOWER</t>
  </si>
  <si>
    <t>TSG31O4</t>
  </si>
  <si>
    <t>P3_10, TAUD0O11, TAUD0ODI11, TAUD1I6, TSG31O4, TSG31ODI4</t>
  </si>
  <si>
    <t>GC_UPPER</t>
  </si>
  <si>
    <t>TSG31O5</t>
  </si>
  <si>
    <t>CSIH0CSS0, CSIH1RYO, INTP6, P3_12, RSCAN0RX1, SCI30TX, TAUD0O13, TAUD0ODI13, TAUD1I8, TSG31O5, TSG31ODI5</t>
  </si>
  <si>
    <t>GC_LOWER</t>
  </si>
  <si>
    <t>TSG31O6</t>
  </si>
  <si>
    <t>CSIH0CSS1, CSIH1RYI, P3_13, RSCAN0TX1, SCI30SCI, SCI30SCO, TAUD0O15, TAUD0ODI15, TAUD1I10, TSG31O6, TSG31ODI6</t>
  </si>
  <si>
    <t>GateDrive1 - SPI Clock</t>
  </si>
  <si>
    <t>CSIH2SCO</t>
  </si>
  <si>
    <t>CSIH2SCI, CSIH2SCO, CSIH3SCI, CSIH3SCO, P1_4, TAUD2I15, TAUD2O15, TAUJ1I3, TAUJ1O3, TAUJ2I3, TAUJ2O3</t>
  </si>
  <si>
    <t>GateDrive1 - SPI MISO</t>
  </si>
  <si>
    <t>CSIH2SI</t>
  </si>
  <si>
    <t>CSIH2SI, CSIH3SI, P1_2, TAUD0I8, TAUD2I13, TAUD2O13, TAUJ1I1, TAUJ1O1, TAUJ2I1, TAUJ2O1</t>
  </si>
  <si>
    <t>CSIH2SO</t>
  </si>
  <si>
    <t>GateDrive1 - SPI MOSI</t>
  </si>
  <si>
    <t>CSIH2SO, CSIH3SO, P1_3, TAUD0I10, TAUD2I14, TAUD2O14, TAUJ1I2, TAUJ1O2, TAUJ2I2, TAUJ2O2</t>
  </si>
  <si>
    <t>GateDrive1 - SPI Chip Select</t>
  </si>
  <si>
    <t>CSIH2CSS0</t>
  </si>
  <si>
    <t>CSIH2CSS0, CSIH3RYI, INTP3, P1_1, RLIN30RX, TAUD0I6, TAUD2I12, TAUD2O12, TAUJ1I0, TAUJ1O0, TAUJ2I0, TAUJ2O0</t>
  </si>
  <si>
    <t>GateDrive2 - SPI Clock</t>
  </si>
  <si>
    <t>CSIH0SCO</t>
  </si>
  <si>
    <t>CSIG0SO, CSIH0SCI, CSIH0SCO, P3_1, TAUD1I12, TAUD1I13, TAUD1O12, TAUD1O13, TAUD1ODI12, TAUD1ODI13</t>
  </si>
  <si>
    <t>GateDrive2 - SPI MISO</t>
  </si>
  <si>
    <t>CSIH0SI</t>
  </si>
  <si>
    <t>CSIG0SCI, CSIG0SCO, CSIH0CSS7, CSIH0SI, P3_2, TAUD1I14, TAUD1I15, TAUD1O14, TAUD1O15, TAUD1ODI14, TAUD1ODI15</t>
  </si>
  <si>
    <t>CSIH0SO</t>
  </si>
  <si>
    <t>GateDrive2 - SPI MOSI</t>
  </si>
  <si>
    <t>CSIG0SI, CSIH0SO, P3_0, TAUD1I10, TAUD1I11, TAUD1O10, TAUD1O11, TAUD1ODI10, TAUD1ODI11</t>
  </si>
  <si>
    <t>GateDrive2 - SPI Chip Select</t>
  </si>
  <si>
    <t>CSIH0CSS2</t>
  </si>
  <si>
    <t>CSIH0CSS2, P2_14, TAUD1I6, TAUD1I7, TAUD1O6, TAUD1O7, TAUD1ODI6, TAUD1ODI7</t>
  </si>
  <si>
    <t>RESETn</t>
  </si>
  <si>
    <t>P3_5</t>
  </si>
  <si>
    <t>CSIG0RYI, CSIH2CSS3, CSIH3CSS2, P3_5, RLIN30TX, SCI31SCI, SCI31SCO, TAUD0I0, TAUD0O0, TAUD0O1, TAUD0ODI0, TAUD0ODI1</t>
  </si>
  <si>
    <t>CSIH0CSS5, CSIH2SCI, CSIH2SCO, INTP6, P2_2, RSCAN0RX1, TAUD2I13, TAUD2O13, TPB0O, TSG30O0</t>
  </si>
  <si>
    <t>RESETn_2</t>
  </si>
  <si>
    <t>P2_15</t>
  </si>
  <si>
    <t>CSIH0RYI, P2_15, TAUD1I8, TAUD1I9, TAUD1O8, TAUD1O9, TAUD1ODI8, TAUD1ODI9</t>
  </si>
  <si>
    <t>CSIH2CSS4, FLX0RXDB, INTP12, P4_11, TAUD1O4, TAUD2I8, TAUD2O8, TAUJ1I0, TAUJ1O0</t>
  </si>
  <si>
    <t>Phs A Feedback</t>
  </si>
  <si>
    <t>TAUJ0I0</t>
  </si>
  <si>
    <t>ADCD0CNV1, ADCDTRG1, INTP3, P5_14, PSI50DIN, RLIN30RX, SENT3RX, SENT3SPCO, TAUD1O13, TAUD1ODI13, TAUJ0I0, TAUJ0O0</t>
  </si>
  <si>
    <t>Phs B Feedback</t>
  </si>
  <si>
    <t>TAUJ0I1</t>
  </si>
  <si>
    <t>ADCD0CNV2, P0_0, PSI50DOUT, RLIN30TX, SENT3SPCO, TAUD1O14, TAUD1ODI14, TAUJ0I1, TAUJ0O1</t>
  </si>
  <si>
    <t>Phs C Feedback</t>
  </si>
  <si>
    <t>TAUJ0I3</t>
  </si>
  <si>
    <t>ADCD0CNV4, P3_11, RLIN31TX, SENT4SPCO, TAUJ0I3, TAUJ0O3</t>
  </si>
  <si>
    <t>Phs D Feedback</t>
  </si>
  <si>
    <t>TAUJ1I0</t>
  </si>
  <si>
    <t>ADCD0CNV3, AUDATA3, P0_5, SENT3SPCO, TAUD1O10, TAUD1ODI10, TAUD2I3, TAUD2O3, TAUJ1I0, TAUJ1O0</t>
  </si>
  <si>
    <t>Phs E Feedback</t>
  </si>
  <si>
    <t>TAUJ1I1</t>
  </si>
  <si>
    <t>AUDCK, P0_6, SENT2SPCO, TAUD1O11, TAUD1ODI11, TAUD2I4, TAUD2O4, TAUJ1I1, TAUJ1O1</t>
  </si>
  <si>
    <t>Phs F Feedback</t>
  </si>
  <si>
    <t>TAUJ1I2</t>
  </si>
  <si>
    <t>ADCDTRG0, AUDSYNC, P0_7, SENT1SPCO, TAUD1O12, TAUD1ODI12, TAUD2I5, TAUD2O5, TAUJ1I2, TAUJ1O2</t>
  </si>
  <si>
    <t>Power Supply SPI Clock</t>
  </si>
  <si>
    <t>CSIG0SCO</t>
  </si>
  <si>
    <t>ADCD0CNV1, CSIG0SCI, CSIG0SCO, CSIH2CSS3, P5_4, SCI30SCI, SCI30SCO, TAUD0I4, TAUD0I5, TAUD0O4, TAUD0O5, TAUD0ODI4, TAUD0ODI5</t>
  </si>
  <si>
    <t>Power Supply SPI MISO</t>
  </si>
  <si>
    <t>CSIG0SI</t>
  </si>
  <si>
    <t>CSIG0SI, CSIH2CSS1, INTP0, P5_0, SCI30RX, TAUD0I1, TAUD0O0, TAUD0O1, TAUD0ODI0, TAUD0ODI1</t>
  </si>
  <si>
    <t>CSIG0SO</t>
  </si>
  <si>
    <t>Power Supply SPI MOSI</t>
  </si>
  <si>
    <t>ADCD0CNV0, CSIG0SO, CSIH2CSS2, P5_1, SCI30TX, TAUD0I2, TAUD0I3, TAUD0O2, TAUD0O3, TAUD0ODI2, TAUD0ODI3</t>
  </si>
  <si>
    <t>Power Supply SPI Slave Select</t>
  </si>
  <si>
    <t>P5_9</t>
  </si>
  <si>
    <t>P5_9, PSI51DIN, SCI32TX, SENT1SPCO, TAUD0I14, TAUD0I15, TAUD0O14, TAUD0O15, TAUD0ODI14, TAUD0ODI15</t>
  </si>
  <si>
    <t>P5_7</t>
  </si>
  <si>
    <t>ADCD0CNV4, CSIH2CSS6, P5_7, SCI31SCI, SCI31SCO, TAUD0I10, TAUD0I11, TAUD0O10, TAUD0O11, TAUD0ODI10, TAUD0ODI11</t>
  </si>
  <si>
    <t>Windowed Watch Dog</t>
  </si>
  <si>
    <t>P5_10</t>
  </si>
  <si>
    <t>ADCD0CNV0, ADCDTRG0, INTP3, P5_10, PSI51DOUT, RLIN30RX, SCI32SCI, SCI32SCO</t>
  </si>
  <si>
    <t>P3_6</t>
  </si>
  <si>
    <t>CSIH0SI, CSIH2CSS4, CSIH3RYI, P3_6, TAUD0O2, TAUD0O3, TAUD0ODI2, TAUD0ODI3, TSG31O0</t>
  </si>
  <si>
    <t>ADCD0CNV3, CSIH2CSS5, INTP10, P5_6, SCI31TX, SENT0SPCO, TAUD0I8, TAUD0I9, TAUD0O8, TAUD0O9, TAUD0ODI8, TAUD0ODI9</t>
  </si>
  <si>
    <t>P0_13</t>
  </si>
  <si>
    <t>EVTI, INTP9, OSTM0O, OSTM0ODI, P0_13, TAUD1O15, TAUD1ODI15, TAUD2I7, TAUD2O7</t>
  </si>
  <si>
    <t>SysFault2A</t>
  </si>
  <si>
    <t>P2_4</t>
  </si>
  <si>
    <t>CSIH0CSS2, CSIH0SI, CSIH2RYO, P2_4, RLIN31TX, TAUD2I11, TAUD2O11, TAUJ1I3, TAUJ1O3</t>
  </si>
  <si>
    <t>SysFault2B</t>
  </si>
  <si>
    <t>P5_3</t>
  </si>
  <si>
    <t>P5_3, TAUD0I6, TAUD0I7</t>
  </si>
  <si>
    <t>ERROROUT</t>
  </si>
  <si>
    <t>Handwheel Torque Sensor 1</t>
  </si>
  <si>
    <t>ADCD0CNV2, CSIH2CSS4, INTP1, P5_5, SCI31RX, SENT0RX, SENT0SPCO, TAUD0I6, TAUD0I7, TAUD0O6, TAUD0O7, TAUD0ODI6, TAUD0ODI7</t>
  </si>
  <si>
    <t>Handwheel Torque Sensor 2</t>
  </si>
  <si>
    <t>CSIH2CSS7, INTP2, P5_8, SCI32RX, SENT1RX, SENT1SPCO, TAUD0I12, TAUD0I13, TAUD0O12, TAUD0O13, TAUD0ODI12, TAUD0ODI13</t>
  </si>
  <si>
    <t>P5_11, RLIN30TX, SENT3RX, SENT3SPCO, TAUD1O10, TAUD1ODI10</t>
  </si>
  <si>
    <t>ADCD0CNV3, INTP4, P0_1, RLIN31RX, SENT4RX, SENT4SPCO, TAUD1O15, TAUD1ODI15, TAUJ0I2, TAUJ0O2</t>
  </si>
  <si>
    <t>INTP4, P5_12, RLIN31RX, SENT2RX, SENT2SPCO, TAUD1O11, TAUD1ODI11</t>
  </si>
  <si>
    <t>Power/Gnd</t>
  </si>
  <si>
    <t>EVSS</t>
  </si>
  <si>
    <t>EVCC</t>
  </si>
  <si>
    <t>VCL, VDD</t>
  </si>
  <si>
    <t>VSS</t>
  </si>
  <si>
    <t>VCC</t>
  </si>
  <si>
    <t>CSIH1SCO</t>
  </si>
  <si>
    <t>CSIH0CSS7, CSIH1SCI, CSIH1SCO, CSIH3CSS1, P2_9, SCI31TX, TAUD1I3, TAUD1O3, TSG30O6, TSG30ODI6</t>
  </si>
  <si>
    <t>CSIH1SI</t>
  </si>
  <si>
    <t>CSIH1SI, EXTCLK0O, FLMD1, FLX0CLK, INTP7, NMI, P3_14, TAPA0ESO, TPB1O, TSG31O7</t>
  </si>
  <si>
    <t>CSIH1SO</t>
  </si>
  <si>
    <t>CSIH0CSS6, CSIH1SO, CSIH3CSS0, CSIH3RYI, CSIH3RYO, INTP1, P2_8, SCI31RX, TAUD1I2, TAUD1O2, TSG30O5, TSG30ODI5</t>
  </si>
  <si>
    <t>CSIH1CSS0</t>
  </si>
  <si>
    <t>ADCD1CNV3, CSIH1CSS0, CSIH2RYI, FLX0RXDB, INTP12, OSTM1O, OSTM1ODI, P4_3, RSCAN0TX1, TAUD2I0, TAUD2O0, TAUJ0I3, TAUJ0O3, TSG30CLKI</t>
  </si>
  <si>
    <t>CSIH3SCO</t>
  </si>
  <si>
    <t>CSIH0CSS5, CSIH1SI, CSIH3SCI, CSIH3SCO, P2_7, SCI30SCI, SCI30SCO, TAUD1I1, TAUD1O1, TSG30O4, TSG30ODI4</t>
  </si>
  <si>
    <t>CSIH3SI</t>
  </si>
  <si>
    <t>CSIH0CSS4, CSIH0SCI, CSIH0SCO, CSIH3SI, OSTM1O, OSTM1ODI, P2_6, SCI30TX, TAUD1I0, TAUD1O0, TSG30O3, TSG30ODI3</t>
  </si>
  <si>
    <t>CSIH3SO</t>
  </si>
  <si>
    <t>CSIH0CSS3, CSIH0SO, CSIH3SO, INTP0, INTP4, P2_5, RLIN31RX, SCI30RX, TSG30O2, TSG30ODI2</t>
  </si>
  <si>
    <t>CSIH3CSS4</t>
  </si>
  <si>
    <t>CSIH0RYI, CSIH2CSS1, CSIH3CSS4, CSIH3SSI, P3_3, SCI32TX, TAUD1I0, TAUD1O0, TAUD1O1, TAUD1ODI0, TAUD1ODI1</t>
  </si>
  <si>
    <t>ADCD1CNV0, CSIH1SO, ENCA0E0, FLX0TXDA, INTP3, P4_0, RLIN30RX, TAUJ0I0, TAUJ0O0, TSG30PTSI0</t>
  </si>
  <si>
    <t>ADCD1CNV1, CSIH1SCI, CSIH1SCO, ENCA0E1, FLX0TXENA, P4_1, RLIN30TX, TAUJ0I1, TAUJ0O1, TSG30PTSI1</t>
  </si>
  <si>
    <t>ADCD1CNV4, CSIH1CSS1, CSIH2CSS7, CSIH2SI, ENCA1E0, FLX0STPWT, INTP8, P4_4, TAPA1ESO, TAUD2I1, TAUD2O1, TSG31PTSI0</t>
  </si>
  <si>
    <t>CSIH1CSS2, CSIH2SO, ENCA1E1, EXTCLK1O, FLX0TXDB, INTP0, INTP5, P4_5, RSCAN0RX0, SCI30RX, TAUD2I2, TAUD2O2, TSG31PTSI1</t>
  </si>
  <si>
    <t>OSCIN</t>
  </si>
  <si>
    <t>X2</t>
  </si>
  <si>
    <t>OSCOUT</t>
  </si>
  <si>
    <t>TMS</t>
  </si>
  <si>
    <t>DCUTMS</t>
  </si>
  <si>
    <t>DCUTMS, JP0_3</t>
  </si>
  <si>
    <t>TCK</t>
  </si>
  <si>
    <t>DCUTCK</t>
  </si>
  <si>
    <t>DCUTCK, FLSCI3SCKI, JP0_2, LPDCLK</t>
  </si>
  <si>
    <t>TDO</t>
  </si>
  <si>
    <t>DCUTDO</t>
  </si>
  <si>
    <t>DCUTDO, FLSCI3TXD, JP0_1, LPDO</t>
  </si>
  <si>
    <t>TDI</t>
  </si>
  <si>
    <t>DCUTDI</t>
  </si>
  <si>
    <t>DCUTDI, FLSCI3RXD, FLSCI3TXD, FLSCI3RXD, JP0_0, LPDI, LPDIO</t>
  </si>
  <si>
    <t>nTRST</t>
  </si>
  <si>
    <t>DCUTRST</t>
  </si>
  <si>
    <t>DCUTRST, JP0_4</t>
  </si>
  <si>
    <t>nRDY</t>
  </si>
  <si>
    <t>DCUTRDY</t>
  </si>
  <si>
    <t>DCUTRDY, JP0_5, LPDCLKOUT</t>
  </si>
  <si>
    <t>FLMD0</t>
  </si>
  <si>
    <t>nPOR</t>
  </si>
  <si>
    <t>RESET</t>
  </si>
  <si>
    <t>ADCD1CNV0, EVTO, P0_10, RESETOUT</t>
  </si>
  <si>
    <t>CVMOUT</t>
  </si>
  <si>
    <t>ADCD1CNV2, CSIH1RYO, ENCA0EC, FLX0RXDA, INTP11, INTP6, P4_2, RSCAN0RX1, SCI30SCI, SCI30SCO, TAUJ0I2, TAUJ0O2, TSG30PTSI2</t>
  </si>
  <si>
    <t>ADCD0CNV0, INTP0, INTP8, P0_2, SCI30RX, SENT5RX, SENT5SPCO, TAPA1ESO, TAUD2I0, TAUD2O0</t>
  </si>
  <si>
    <t>CSIH2CSS5, FLX0TXDB, P4_12, TAUD1O5, TAUD2I9, TAUD2O9, TAUJ1I1, TAUJ1O1</t>
  </si>
  <si>
    <t>CSIH2SSI, FLX0TXENB, P4_13, TAUD1O6, TAUD2I10, TAUD2O10, TAUJ1I2, TAUJ1O2</t>
  </si>
  <si>
    <t>CSIG0SCI, CSIG0SCO, P5_2, SCI30SCI, SCI30SCO, TAUD0I14, TAUD0I15, TAUD0O2, TAUD0O3, TAUD0ODI2, TAUD0ODI3</t>
  </si>
  <si>
    <t>P5_13, RLIN31TX, SENT2SPCO, TAUD0I12, TAUD0I13, TAUD1O12, TAUD1ODI12</t>
  </si>
  <si>
    <t>INTP4, P5_15, RLIN30TX, RLIN31RX, SENT3SPCO</t>
  </si>
  <si>
    <t>ADCD0CNV1, AUDATA1, P0_3, SCI30TX, SENT5SPCO, TAUD1O8, TAUD1ODI8, TAUD2I1, TAUD2O1</t>
  </si>
  <si>
    <t>ADCD0CNV2, AUDATA2, P0_4, SCI30SCI, SCI30SCO, SENT4SPCO, TAUD1O9, TAUD1ODI9, TAUD2I2, TAUD2O2</t>
  </si>
  <si>
    <t>ADCDTRG1, AUDRST, P0_8, SENT0SPCO, TAUD1O13, TAUD1ODI13, TAUD2I6, TAUD2O6, TAUJ1I3, TAUJ1O3</t>
  </si>
  <si>
    <t>ADCD0CNV4, ADCD1CNV1, AUDATA0, P0_9, TAUD1O14, TAUD1ODI14, TAUD2I7, TAUD2O7</t>
  </si>
  <si>
    <t>ADCD1CNV2, P0_11</t>
  </si>
  <si>
    <t>ADCD1CNV3, P0_12</t>
  </si>
  <si>
    <t>ADCD1CNV4, P0_14</t>
  </si>
  <si>
    <t>CSIH3RYO, P1_0, RLIN30TX</t>
  </si>
  <si>
    <t>CSIH0CSS6, CSIH0RYI, OSTM1O, OSTM1ODI, P2_10, TAUD2I10, TAUD2O10</t>
  </si>
  <si>
    <t>CSIH0CSS5, CSIH0RYO, CSIH1RYI, P2_11, TAUD1I0, TAUD1I1, TAUD1O0, TAUD1O1, TAUD1ODI0, TAUD1ODI1</t>
  </si>
  <si>
    <t>CSIH0CSS4, CSIH0SO, P2_12, TAUD1I2, TAUD1I3, TAUD1O2, TAUD1O3, TAUD1ODI2, TAUD1ODI3</t>
  </si>
  <si>
    <t>CSIH0CSS3, CSIH1RYO, P2_13, TAUD1I4, TAUD1I5, TAUD1O4, TAUD1O5, TAUD1ODI4, TAUD1ODI5</t>
  </si>
  <si>
    <t>TSG31</t>
  </si>
  <si>
    <t>CSIH2</t>
  </si>
  <si>
    <t>CSIH0</t>
  </si>
  <si>
    <t>TAUJ0</t>
  </si>
  <si>
    <t>TAUJ1</t>
  </si>
  <si>
    <t>CSIG0</t>
  </si>
  <si>
    <t>SENT0</t>
  </si>
  <si>
    <t>SENT1</t>
  </si>
  <si>
    <t>SENT3</t>
  </si>
  <si>
    <t>SENT4</t>
  </si>
  <si>
    <t>SENT2</t>
  </si>
  <si>
    <t>GenConfig</t>
  </si>
  <si>
    <t>SENT5</t>
  </si>
  <si>
    <t>CSIH1</t>
  </si>
  <si>
    <t>CSIH3</t>
  </si>
  <si>
    <t>CAN1</t>
  </si>
  <si>
    <t>ADC1</t>
  </si>
  <si>
    <t>ADC0</t>
  </si>
  <si>
    <t>ADC</t>
  </si>
  <si>
    <t>Hardware Identifier</t>
  </si>
  <si>
    <t>Related Hardware Element</t>
  </si>
  <si>
    <t>Pin #</t>
  </si>
  <si>
    <t>Module</t>
  </si>
  <si>
    <t>Interface Type</t>
  </si>
  <si>
    <t>Range of Values</t>
  </si>
  <si>
    <t>Resolution</t>
  </si>
  <si>
    <t>Pin 
Configuration</t>
  </si>
  <si>
    <t>0-5 Volts</t>
  </si>
  <si>
    <t>12 bits</t>
  </si>
  <si>
    <t>n/a</t>
  </si>
  <si>
    <t>Input</t>
  </si>
  <si>
    <t>N/A</t>
  </si>
  <si>
    <t>Config/Test</t>
  </si>
  <si>
    <t>Port</t>
  </si>
  <si>
    <t>Output</t>
  </si>
  <si>
    <t>P4_8</t>
  </si>
  <si>
    <t>P4_9</t>
  </si>
  <si>
    <t>P4_10</t>
  </si>
  <si>
    <t>P4_2</t>
  </si>
  <si>
    <t>P4_12</t>
  </si>
  <si>
    <t>P4_13</t>
  </si>
  <si>
    <t>P5_2</t>
  </si>
  <si>
    <t>P5_13</t>
  </si>
  <si>
    <t>P5_15</t>
  </si>
  <si>
    <t>P0_3</t>
  </si>
  <si>
    <t>P0_4</t>
  </si>
  <si>
    <t>P0_8</t>
  </si>
  <si>
    <t>P0_9</t>
  </si>
  <si>
    <t>P0_11</t>
  </si>
  <si>
    <t>P0_12</t>
  </si>
  <si>
    <t>P0_14</t>
  </si>
  <si>
    <t>P1_0</t>
  </si>
  <si>
    <t>P2_10</t>
  </si>
  <si>
    <t>P2_11</t>
  </si>
  <si>
    <t>P2_12</t>
  </si>
  <si>
    <t>P2_13</t>
  </si>
  <si>
    <t>0-3</t>
  </si>
  <si>
    <t>P2_0</t>
  </si>
  <si>
    <t>P2_1</t>
  </si>
  <si>
    <t>P4_7</t>
  </si>
  <si>
    <t>P2_3</t>
  </si>
  <si>
    <t>P3_4</t>
  </si>
  <si>
    <t>P4_14</t>
  </si>
  <si>
    <t>P4_6</t>
  </si>
  <si>
    <t>P3_7</t>
  </si>
  <si>
    <t>P3_8</t>
  </si>
  <si>
    <t>P3_9</t>
  </si>
  <si>
    <t>P3_10</t>
  </si>
  <si>
    <t>P3_12</t>
  </si>
  <si>
    <t>P3_13</t>
  </si>
  <si>
    <t>P1_4</t>
  </si>
  <si>
    <t>P1_2</t>
  </si>
  <si>
    <t>P1_3</t>
  </si>
  <si>
    <t>P1_1</t>
  </si>
  <si>
    <t>P3_1</t>
  </si>
  <si>
    <t>P3_2</t>
  </si>
  <si>
    <t>P3_0</t>
  </si>
  <si>
    <t>P2_14</t>
  </si>
  <si>
    <t>P2_2</t>
  </si>
  <si>
    <t>P4_11</t>
  </si>
  <si>
    <t>P5_14</t>
  </si>
  <si>
    <t>P0_0</t>
  </si>
  <si>
    <t>P3_11</t>
  </si>
  <si>
    <t>P0_5</t>
  </si>
  <si>
    <t>P0_6</t>
  </si>
  <si>
    <t>P0_7</t>
  </si>
  <si>
    <t>P5_4</t>
  </si>
  <si>
    <t>P5_0</t>
  </si>
  <si>
    <t>P5_1</t>
  </si>
  <si>
    <t>P5_6</t>
  </si>
  <si>
    <t>P5_5</t>
  </si>
  <si>
    <t>P5_8</t>
  </si>
  <si>
    <t>P5_11</t>
  </si>
  <si>
    <t>P0_1</t>
  </si>
  <si>
    <t>P5_12</t>
  </si>
  <si>
    <t>P2_9</t>
  </si>
  <si>
    <t>P3_14</t>
  </si>
  <si>
    <t>P2_8</t>
  </si>
  <si>
    <t>P4_3</t>
  </si>
  <si>
    <t>P2_7</t>
  </si>
  <si>
    <t>P2_6</t>
  </si>
  <si>
    <t>P2_5</t>
  </si>
  <si>
    <t>P3_3</t>
  </si>
  <si>
    <t>P4_0</t>
  </si>
  <si>
    <t>P4_1</t>
  </si>
  <si>
    <t>P4_4</t>
  </si>
  <si>
    <t>P4_5</t>
  </si>
  <si>
    <t>P0_2</t>
  </si>
  <si>
    <t>P0_10</t>
  </si>
  <si>
    <t>FDD</t>
  </si>
  <si>
    <t>MotCurrSnsrOffs1</t>
  </si>
  <si>
    <t>MotCurrSnsrOffs2</t>
  </si>
  <si>
    <t>BattVltg</t>
  </si>
  <si>
    <t>BattVltgSwd1</t>
  </si>
  <si>
    <t>BattVltgSwd2</t>
  </si>
  <si>
    <t>AdcMotCtrlDynRef</t>
  </si>
  <si>
    <t>MotCurrAdcVlyA
MotCurrAdcPeakA</t>
  </si>
  <si>
    <t>MotCurrAdcVlyB
MotCurrAdcPeakB</t>
  </si>
  <si>
    <t>MotCurrAdcVlyC
MotCurrAdcPeakC</t>
  </si>
  <si>
    <t>MotCurrAdcVlyD
MotCurrAdcPeakD</t>
  </si>
  <si>
    <t>MotCurrAdcVlyE
MotCurrAdcPeakE</t>
  </si>
  <si>
    <t>MotCurrAdcVlyF
MotCurrAdcPeakF</t>
  </si>
  <si>
    <t>EcuT</t>
  </si>
  <si>
    <t>MotAg2Cos</t>
  </si>
  <si>
    <t>MotAg2Sin</t>
  </si>
  <si>
    <t>PhaALowrCmd</t>
  </si>
  <si>
    <t>Signal Identifier</t>
  </si>
  <si>
    <t>PhaAUpprCmd</t>
  </si>
  <si>
    <t>PhaBLowrCmd</t>
  </si>
  <si>
    <t>PhaBUpprCmd</t>
  </si>
  <si>
    <t>PhaCLowrCmd</t>
  </si>
  <si>
    <t>PhaCUpprCmd</t>
  </si>
  <si>
    <t>Handwheel Torque Sensor 0</t>
  </si>
  <si>
    <t>MotAg0 - SPI Clock</t>
  </si>
  <si>
    <t>MotAg0 - SPI MISO</t>
  </si>
  <si>
    <t>MotAg0 - SPI MOSI</t>
  </si>
  <si>
    <t>MotAg0 - SPI Chip Select</t>
  </si>
  <si>
    <t>MotAg2 - SPI Clock</t>
  </si>
  <si>
    <t>MotAg2 - SPI MISO</t>
  </si>
  <si>
    <t>MotAg2 - SPI MOSI</t>
  </si>
  <si>
    <t>MotAg2 - SPI Chip Select</t>
  </si>
  <si>
    <t>MotAg2 Sine</t>
  </si>
  <si>
    <t>MotAg2 Cosine</t>
  </si>
  <si>
    <t>CM475A</t>
  </si>
  <si>
    <t>CM010A</t>
  </si>
  <si>
    <t>GateDrv0Rst</t>
  </si>
  <si>
    <t>GateDrv1Rst</t>
  </si>
  <si>
    <t>ES310A</t>
  </si>
  <si>
    <t>VS5P2 supply rail</t>
  </si>
  <si>
    <t>SysFlt2A</t>
  </si>
  <si>
    <t>SysFlt2B</t>
  </si>
  <si>
    <t>TmplMonrWdg</t>
  </si>
  <si>
    <t>PwrOutEnaFb</t>
  </si>
  <si>
    <t>Power Output Enable Feedback</t>
  </si>
  <si>
    <t>PhaFbA</t>
  </si>
  <si>
    <t>PhaFbB</t>
  </si>
  <si>
    <t>PhaFbC</t>
  </si>
  <si>
    <t>PhaFbD</t>
  </si>
  <si>
    <t>PhaFbE</t>
  </si>
  <si>
    <t>PhaFbF</t>
  </si>
  <si>
    <t>VltgSplyFbVS5P2</t>
  </si>
  <si>
    <t>PortBiDirectionControl</t>
  </si>
  <si>
    <t>true: Activate forced Bi-directional IO buffer of the port pin.</t>
  </si>
  <si>
    <t>false: Deactivate forced Bi-directional IO buffer of the port pin.</t>
  </si>
  <si>
    <t>PortDriveStrengthControl</t>
  </si>
  <si>
    <t>SLOW: Lower drive strength (slow mode) is selected for port pin's output buffer.</t>
  </si>
  <si>
    <t>FAST: Higher drive strength (fast mode) is selected for port pin's output buffer.</t>
  </si>
  <si>
    <t>MIDDLE_0: Lower drive strength (middle mode) is selected for port pin's output buffer.</t>
  </si>
  <si>
    <t>MIDDLE_1: Lower drive strength (middle mode) is selected for port pin's output buffer.</t>
  </si>
  <si>
    <t>PortInputBufferControl</t>
  </si>
  <si>
    <t>This parameter is used as one of the factors to enable/disable port pins input buffer in DIO Mode (PMC=0).</t>
  </si>
  <si>
    <t>PortInputSelection</t>
  </si>
  <si>
    <t>This setting specifies the input buffer characteristics.</t>
  </si>
  <si>
    <t>TYPE_1_SUPP_PISA: TYPE 1 buffer is selected.</t>
  </si>
  <si>
    <t>TYPE_2_SUPP_PISA: TYPE 2 buffer is selected.</t>
  </si>
  <si>
    <t>PortIpControl</t>
  </si>
  <si>
    <t>This parameter is used to enable/disable the direct IO control of port pins input buffer and output buffer.</t>
  </si>
  <si>
    <t>true: Enables the direct IO control of port pins input buffer and output buffer by the corresponding control signals of IP_ENI3(0) and IP_ENO3(0) from internal peripheral IPs. This register is valid only in Control Mode (PMC=1).</t>
  </si>
  <si>
    <t>false: Disables the direct IO control of port pins input buffer and output buffer.</t>
  </si>
  <si>
    <t>PortOpenDrainControl_Expansion</t>
  </si>
  <si>
    <t>This parameter selects port pins output buffer function in combination of PODC and PODCE .</t>
  </si>
  <si>
    <t>OpenDrain_PushPull Specifies the OpenDrain_PushPull open drain type output circuit characteristics and updates both PODC and PODCE registers as 0 0 respectively.</t>
  </si>
  <si>
    <t>OpenDrain_N_Channel  specifies the N-ch open drain type output circuit characteristics and updates the PODC and PODCE registers as 1 0 respectively.</t>
  </si>
  <si>
    <t>OpenDrain_P_Channel  specifies the P-ch open drain type output circuit characteristics and updates the PODC and PODCE registers as 1 1 respectively.</t>
  </si>
  <si>
    <t>PortOutputLevelInversion</t>
  </si>
  <si>
    <t>This parameter specifies whether the output level from a pin is inverted or not..</t>
  </si>
  <si>
    <t>true: Pin output level is inverted.</t>
  </si>
  <si>
    <t>false: Pin output level is not inverted.</t>
  </si>
  <si>
    <t>PortPinDioAltModeChangeable</t>
  </si>
  <si>
    <t>Parameter to indicate if the mode of a port pin is changeable between DIO and Alternate during runtime by API functions Port_SetToDioMode and Port_SetToAlternateMode. Including these APIs is controlled by PortSetToDioAltModeApi.</t>
  </si>
  <si>
    <t>true: Dio Alternate mode is changeable.</t>
  </si>
  <si>
    <t>false: Dio Alternate mode is not changeable.</t>
  </si>
  <si>
    <t>PortPinDirectionChangeable</t>
  </si>
  <si>
    <t>Parameter to indicate if the direction is changeable on a port pin during runtime.</t>
  </si>
  <si>
    <t>true: Port Pin direction changeable enabled.</t>
  </si>
  <si>
    <t>false: Port Pin direction changeable disabled.</t>
  </si>
  <si>
    <t>PortPinDirection</t>
  </si>
  <si>
    <t>The initial direction of the pin (IN or OUT). If the direction is not changeable, the value configured here is fixed. The direction must match the pin mode.</t>
  </si>
  <si>
    <t>PORT_PIN_IN: Port pin direction set as input.</t>
  </si>
  <si>
    <t>PORT_PIN_OUT: Port pin direction set as output.</t>
  </si>
  <si>
    <t>PortPinInitialMode</t>
  </si>
  <si>
    <t>Mode of the port pin for use with Port_Init() function.</t>
  </si>
  <si>
    <t>&lt;Input name&gt;_ALT&lt;Alternative instance&gt;_IN: Provides alternative instance for selected input.</t>
  </si>
  <si>
    <t>&lt;Output name&gt;_ALT&lt;Alternative instance&gt;_OUT: Provides alternative instance for selected output.</t>
  </si>
  <si>
    <t>PortPinLevelValue</t>
  </si>
  <si>
    <t>Parameter to indicate port pin level value for a port pin.</t>
  </si>
  <si>
    <t>PORT_PIN_LEVEL_LOW: Port pin Level is low.</t>
  </si>
  <si>
    <t>PORT_PIN_LEVEL_HIGH: Port pin Level is high.</t>
  </si>
  <si>
    <t>PortPinModeChangeable</t>
  </si>
  <si>
    <t>Parameter to indicate if the mode of a port pin is changeable during runtime by API function Port_SetPinMode. Including this API is controlled by PortSetPinModeApi.</t>
  </si>
  <si>
    <t>true: Port Pin mode is changeable.</t>
  </si>
  <si>
    <t>false: Port Pin mode is not changeable.</t>
  </si>
  <si>
    <t>PortPullDownOption</t>
  </si>
  <si>
    <t>This parameter switches on or off the port pins pull-down resistor.</t>
  </si>
  <si>
    <t>true: Port pin's pull-down resistor is enabled.</t>
  </si>
  <si>
    <t>false: Port pin's pull-down resistor is disabled.</t>
  </si>
  <si>
    <t>PortPullUpOption</t>
  </si>
  <si>
    <t>This register switches on or off the port pins pull-up resistor.</t>
  </si>
  <si>
    <t>true: Port pin's pull-up resistor is enabled.</t>
  </si>
  <si>
    <t>false: Port pin's pull-up resistor is disabled.</t>
  </si>
  <si>
    <t>PortUnlimitedCurrentControl</t>
  </si>
  <si>
    <t>This parameter selects the port pins output drive strength as high or low type. This functionality is also referred to fast (high strength) and slow (low strength) behavior of output buffer.</t>
  </si>
  <si>
    <t>The PortDriveStrengthControl must be enabled for this feature.</t>
  </si>
  <si>
    <t>MIDDLE: Lower drive strength (middle mode) is selected for port pin's output buffer.</t>
  </si>
  <si>
    <t>false: Port pin's input buffer is disabled in DIO Mode. (The pin operates as a general purpose I/O port in port mode)</t>
  </si>
  <si>
    <t>true: Port pin's input buffer is ready to be enabled in DIO Mode. (SW IO or DIO control)</t>
  </si>
  <si>
    <t>MotAg0Miso</t>
  </si>
  <si>
    <t>MotAg0Mosi</t>
  </si>
  <si>
    <t>MotAg0Clk</t>
  </si>
  <si>
    <t>MotAg0Cs</t>
  </si>
  <si>
    <t>MotAg2Mosi</t>
  </si>
  <si>
    <t>MotAg2Cs</t>
  </si>
  <si>
    <t>MotAg2Clk</t>
  </si>
  <si>
    <t>MotAg2Miso</t>
  </si>
  <si>
    <t>GateDrv1Cs</t>
  </si>
  <si>
    <t>GateDrv1Miso</t>
  </si>
  <si>
    <t>GateDrv1Mosi</t>
  </si>
  <si>
    <t>GateDrv1Clk</t>
  </si>
  <si>
    <t>GateDrv2Cs</t>
  </si>
  <si>
    <t>GateDrv2Miso</t>
  </si>
  <si>
    <t>GateDrv2Mosi</t>
  </si>
  <si>
    <t>GateDrv2Clk</t>
  </si>
  <si>
    <t>PwrSplyMiso</t>
  </si>
  <si>
    <t>PwrSplyMosi</t>
  </si>
  <si>
    <t>PwrSplyClk</t>
  </si>
  <si>
    <t>HwTq0</t>
  </si>
  <si>
    <t>Power Supply Not Fault</t>
  </si>
  <si>
    <t>PwrSplyNotFlt</t>
  </si>
  <si>
    <t>McuEna</t>
  </si>
  <si>
    <t>Microcontroller Unit Enable</t>
  </si>
  <si>
    <t>HwTq1</t>
  </si>
  <si>
    <t>PwrSplyCs</t>
  </si>
  <si>
    <t>HwTq2</t>
  </si>
  <si>
    <t>HwAg1</t>
  </si>
  <si>
    <t>Handwheel Angle Sensor 1</t>
  </si>
  <si>
    <t>HwTq3</t>
  </si>
  <si>
    <t>Handwheel Torque Sensor 3</t>
  </si>
  <si>
    <t>PwrTurnOffCtrl</t>
  </si>
  <si>
    <t>Power Turn Off Control</t>
  </si>
  <si>
    <t>Handwheel Angle Sensor 0</t>
  </si>
  <si>
    <t>HwAg0</t>
  </si>
  <si>
    <t>Can1Rx</t>
  </si>
  <si>
    <t>Can1Tx</t>
  </si>
  <si>
    <t>Gate Drive 1 - Diagnostic</t>
  </si>
  <si>
    <t>Gate Drive 2 - Diagnostic</t>
  </si>
  <si>
    <t>Not Error</t>
  </si>
  <si>
    <t>NotErr</t>
  </si>
  <si>
    <t>This parameter selects the port pins output drive strength as high strength or low strength type. This functionality is also referred to fast (high strength) and slow (low strength) behavior of output buffer. (PDSCn)</t>
  </si>
  <si>
    <t>This parameter forces port pins input buffer and output buffer at the same time. If activated, the effect is valid independently from any other port settings. (PBDCn_[15:0])
This register enables the input buffer when a port is used in output mode and sets in bi-direction mode.
In bi-direction mode, PPRn.PPRn_m can read the level of the Pn_m pin.</t>
  </si>
  <si>
    <t>Port Config</t>
  </si>
  <si>
    <t>Port Config ShortHand</t>
  </si>
  <si>
    <t>PortGroup0 PortPin0</t>
  </si>
  <si>
    <t>TRUE, FALSE</t>
  </si>
  <si>
    <t>PORT_PIN_LEVEL_LOW, PORT_PIN_LEVEL_HIGH</t>
  </si>
  <si>
    <t>TAUJ0I1_ALT1_IN, TAUJ0O1_ALT1_OUT, SENT3SPCO_ALT2_OUT, TAUD1ODI14_ALT3_IN, TAUD1O14_ALT3_OUT, ADCD0CNV2_ALT4_OUT, PSI50DOUT_ALT5_OUT, RLIN30TX_ALT6_OUT, DIO</t>
  </si>
  <si>
    <t>PORT_PIN_OUT, PORT_PIN_IN</t>
  </si>
  <si>
    <t>OpenDrain_PushPull, OpenDrain_N_Channel, OpenDrain_P_Channel</t>
  </si>
  <si>
    <t>SLOW, FAST, MIDDLE_0, MIDDLE_1</t>
  </si>
  <si>
    <t>SLOW, FAST, MIDDLE</t>
  </si>
  <si>
    <t>TYPE_1_SUPP_PISA, TYPE_2_SUPP_PISA</t>
  </si>
  <si>
    <t>PortGroup0 PortPin1</t>
  </si>
  <si>
    <t>TAUJ0I2_ALT1_IN, TAUJ0O2_ALT1_OUT, SENT4RX_ALT2_IN, SENT4SPCO_ALT2_OUT, TAUD1ODI15_ALT3_IN, TAUD1O15_ALT3_OUT, ADCD0CNV3_ALT4_OUT, INTP4_ALT6_IN, RLIN31RX_ALT6_IN, DIO</t>
  </si>
  <si>
    <t>PortGroup0 PortPin2</t>
  </si>
  <si>
    <t>SCI30RX_ALT1_IN, INTP0_ALT1_IN, TAPA1ESO_ALT2_IN, INTP8_ALT2_IN, TAUD2I0_ALT3_IN, ADCD0CNV0_ALT3_OUT, TAUD2O0_ALT4_OUT, SENT5RX_ALT6_IN, SENT5SPCO_ALT6_OUT, DIO</t>
  </si>
  <si>
    <t>PortGroup0 PortPin3</t>
  </si>
  <si>
    <t>SCI30TX_ALT1_OUT, TAUD1ODI8_ALT2_IN, TAUD1O8_ALT2_OUT, TAUD2I1_ALT3_IN, ADCD0CNV1_ALT3_OUT, TAUD2O1_ALT4_OUT, SENT5SPCO_ALT6_OUT, DIO</t>
  </si>
  <si>
    <t>PortGroup0 PortPin4</t>
  </si>
  <si>
    <t>SCI30SCI_ALT1_IN, SCI30SCO_ALT1_OUT, TAUD1ODI9_ALT2_IN, TAUD1O9_ALT2_OUT, TAUD2I2_ALT3_IN, ADCD0CNV2_ALT3_OUT, TAUD2O2_ALT4_OUT, SENT4SPCO_ALT6_OUT, DIO</t>
  </si>
  <si>
    <t>PortGroup0 PortPin5</t>
  </si>
  <si>
    <t>TAUJ1I0_ALT1_IN, TAUJ1O0_ALT1_OUT, TAUD1ODI10_ALT2_IN, TAUD1O10_ALT2_OUT, TAUD2I3_ALT3_IN, ADCD0CNV3_ALT3_OUT, TAUD2O3_ALT4_OUT, SENT3SPCO_ALT6_OUT, DIO</t>
  </si>
  <si>
    <t>PortGroup0 PortPin6</t>
  </si>
  <si>
    <t>TAUJ1I1_ALT1_IN, TAUJ1O1_ALT1_OUT, TAUD1ODI11_ALT2_IN, TAUD1O11_ALT2_OUT, TAUD2I4_ALT3_IN, TAUD2O4_ALT4_OUT, SENT2SPCO_ALT6_OUT, DIO</t>
  </si>
  <si>
    <t>PortGroup0 PortPin7</t>
  </si>
  <si>
    <t>TAUJ1I2_ALT1_IN, TAUJ1O2_ALT1_OUT, TAUD1ODI12_ALT2_IN, TAUD1O12_ALT2_OUT, TAUD2I5_ALT3_IN, ADCATRG0_ALT4_IN, TAUD2O5_ALT4_OUT, SENT1SPCO_ALT6_IN, DIO</t>
  </si>
  <si>
    <t>PortGroup0 PortPin8</t>
  </si>
  <si>
    <t>TAUJ1I3_ALT1_IN, TAUJ1O3_ALT1_OUT, TAUD1ODI13_ALT2_IN, TAUD1O13_ALT2_OUT, TAUD2I6_ALT3_IN, ADCATRG1_ALT4_IN, TAUD2O6_ALT4_OUT, SENT0SPCO_ALT6_OUT, DIO</t>
  </si>
  <si>
    <t>PortGroup0 PortPin9</t>
  </si>
  <si>
    <t>ADCD1CNV1_ALT1_OUT, TAUD1ODI14_ALT2_IN, TAUD1O14_ALT2_OUT, TAUD2I7_ALT3_IN, ADCA0CNV4_ALT3_OUT, TAUD2O7_ALT4_OUT, DIO</t>
  </si>
  <si>
    <t>PortGroup0 PortPin10</t>
  </si>
  <si>
    <t>ADCD1CNV0_ALT2_OUT, DIO</t>
  </si>
  <si>
    <t>PortGroup0 PortPin11</t>
  </si>
  <si>
    <t>ADCD1CNV2_ALT2_OUT, DIO</t>
  </si>
  <si>
    <t>PortGroup0 PortPin12</t>
  </si>
  <si>
    <t>ADCD1CNV3_ALT2_OUT, DIO</t>
  </si>
  <si>
    <t>PortGroup0 PortPin13</t>
  </si>
  <si>
    <t>OSTM0ODI_ALT1_IN, OSTM0O_ALT1_OUT, TAUD1ODI15_ALT2_IN, TAUD1O15_ALT2_OUT, TAUD2I7_ALT3_IN, INTP9_ALT4_IN, TAUD2O7_ALT4_OUT, DIO</t>
  </si>
  <si>
    <t>PortGroup0 PortPin14</t>
  </si>
  <si>
    <t>ADCD1CNV4_ALT2_OUT, DIO</t>
  </si>
  <si>
    <t>PortGroup1 PortPin0</t>
  </si>
  <si>
    <t>RLIN30TX_ALT4_OUT, CSIH3RYO_ALT6_OUT, DIO</t>
  </si>
  <si>
    <t>PortGroup1 PortPin1</t>
  </si>
  <si>
    <t>TAUJ2I0_ALT1_IN, TAUJ2O0_ALT1_OUT, TAUJ1I0_ALT2_IN, TAUJ1O0_ALT2_OUT, TAUD2I12_ALT3_IN, TAUD2O12_ALT3_OUT, RLIN30RX_ALT4_IN, INTP3_ALT4_IN, CSIH2CSS0_ALT4_OUT, TAUD0I6_ALT5_IN, CSIH3RYI_ALT6_IN, DIO</t>
  </si>
  <si>
    <t>PortGroup1 PortPin2</t>
  </si>
  <si>
    <t>TAUJ2I1_ALT1_IN, TAUJ2O1_ALT1_OUT, TAUJ1I1_ALT2_IN, TAUJ1O1_ALT2_OUT, TAUD2I13_ALT3_IN, TAUD2O13_ALT3_OUT, CSIH2SI_ALT4_IN, TAUD0I8_ALT5_IN, CSIH3SI_ALT6_IN, DIO</t>
  </si>
  <si>
    <t>PortGroup1 PortPin3</t>
  </si>
  <si>
    <t>TAUJ2I2_ALT1_IN, TAUJ2O2_ALT1_OUT, TAUJ1I2_ALT2_IN, TAUJ1O2_ALT2_OUT, TAUD2I14_ALT3_IN, TAUD2O14_ALT3_OUT, CSIH2DCS_ALT4_IN, CSIH2SO_ALT4_OUT, TAUD0I10_ALT5_IN, CSIH3DCS_ALT6_IN, CSIH3SO_ALT6_OUT, DIO</t>
  </si>
  <si>
    <t>PortGroup1 PortPin4</t>
  </si>
  <si>
    <t>TAUJ2I3_ALT1_IN, TAUJ2O3_ALT1_OUT, TTAUJ1I3_ALT2_IN, TAUJ1O3_ALT2_OUT, TAUD2I15_ALT3_IN, TAUD2O15_ALT3_OUT, CSIH2SCI_ALT4_IN, CSIH2SCO_ALT4_OUT, CSIH3SCI_ALT6_IN, CSIH3SCO_ALT6_OUT, DIO</t>
  </si>
  <si>
    <t>PortGroup2 PortPin0</t>
  </si>
  <si>
    <t>RSCAN0RX0_ALT1_IN, INTP5_ALT1_IN, CSIH2S_ALT2_IN, TAUD2I11_ALT3_IN, TAUD2O11_ALT3_OUT, CSIH3CSS6_ALT4_OUT, DIO</t>
  </si>
  <si>
    <t>PortGroup2 PortPin1</t>
  </si>
  <si>
    <t>RSCAN0TX0_ALT1_OUT, CSIH2DCS_ALT2_IN, CSIH2SO_ALT2_OUT, TAUD2I12_ALT3_IN, TAUD2O12_ALT3_OUT, CSIH3CSS7_ALT4_OUT, TSG30O7_ALT5_OUT, DIO</t>
  </si>
  <si>
    <t>PortGroup2 PortPin2</t>
  </si>
  <si>
    <t>RSCAN0RX1_ALT1_IN, INTP6_ALT1_IN, CSIH2SCI_ALT2_IN, CSIH2SCO_ALT2_OUT, TAUD2I13_ALT3_IN, TAUD2O13_ALT3_OUT, TPB0O_ALT4_OUT, TSG30O0_ALT5_OUT, CSIH0CSS5_ALT6_OUT, DIO</t>
  </si>
  <si>
    <t>PortGroup2 PortPin3</t>
  </si>
  <si>
    <t>RSCAN0TX1_ALT1_OUT, CSIH2RYI_ALT2_IN, CSIH2CSS0_ALT2_OUT, TAUD2I14_ALT3_IN, TAUD2O14_ALT3_OUT, TPB1O_ALT4_OUT, TSG30ODI1_ALT5_IN, TSG30O1_ALT5_OUT, DIO</t>
  </si>
  <si>
    <t>PortGroup2 PortPin4</t>
  </si>
  <si>
    <t>CSIH2RYO_ALT1_OUT, CSIH0CSS2_ALT2_OUT, RLIN31TX_ALT3_OUT, TAUJ1I3_ALT4_IN, TAUJ1O3_ALT4_OUT, CSIH0SI_ALT5_IN, TAUD2I11_ALT6_IN, TAUD2O11_ALT6_OUT, DIO</t>
  </si>
  <si>
    <t>PortGroup2 PortPin5</t>
  </si>
  <si>
    <t>SCI30RX_ALT1_IN, INTP0_ALT1_IN, CSIH0CSS3_ALT2_OUT, RLIN31RX_ALT3_IN, INTP4_ALT3_IN, CSIH3DCS_ALT4_IN, CSIH3SO_ALT4_OUT, TSG30ODI2_ALT5_IN, TSG30O2_ALT5_OUT, CHIHODCS_ALT6_IN, CSIH0SO_ALT6_OUT, DIO</t>
  </si>
  <si>
    <t>PortGroup2 PortPin6</t>
  </si>
  <si>
    <t>SCI30TX_ALT1_OUT, OSTM1ODI_ALT2_IN, OSTM1O_ALT2_OUT, CSIH0SCI_ALT3_IN, CSIH0SCO_ALT3_OUT, CSIH3SI_ALT4_IN, CSIH0CSS4_ALT4_OUT, TSG30ODI3_ALT5_IN, TSG30O3_ALT5_OUT, TAUD1I0_ALT6_IN, TAUD1O0_ALT6_OUT, DIO</t>
  </si>
  <si>
    <t>PortGroup2 PortPin7</t>
  </si>
  <si>
    <t>SCI30SCI_ALT1_IN, SCI30SCO_ALT1_OUT, CSIH0CSS5_ALT2_OUT, CSIH1SI_ALT3_IN, CSIH3SCI_ALT4_IN, CSIH3SCO_ALT4_OUT, TSG30ODI4_ALT5_IN, TSG30O4_ALT5_OUT, TAUD1I1_ALT6_IN, TAUD1O1_ALT6_OUT, DIO</t>
  </si>
  <si>
    <t>PortGroup2 PortPin8</t>
  </si>
  <si>
    <t>SCI31RX_ALT1_IN, INTP1_ALT1_IN, CSIH3RYO_ALT1_OUT, CSIH0CSS6_ALT2_OUT, CSIH1DCS_ALT3_IN, CSIH1SO_ALT3_OUT, CSIH3RYI_ALT4_IN, CSIH3CSS0_ALT4_OUT, TSG30ODI5_ALT5_IN, TSG30O5_ALT5_OUT, TAUD1I2_ALT6_IN, TAUD1O2_ALT6_OUT, DIO</t>
  </si>
  <si>
    <t>PortGroup2 PortPin9</t>
  </si>
  <si>
    <t>SCI31TX_ALT1_OUT, CSIH0CSS7_ALT2_OUT, CSIH1SCI_ALT3_IN, CSIH1SCO_ALT3_OUT, CSIH3CSS1_ALT4_OUT, TSG30ODI6_ALT5_IN, TSG30O6_ALT5_OUT, TAUD1I3_ALT6_IN, TAUD1O3_ALT6_OUT, DIO</t>
  </si>
  <si>
    <t>PortGroup2 PortPin10</t>
  </si>
  <si>
    <t>TAUD2I10_ALT3_IN, TAUD2O10_ALT3_OUT, CSIH0RYI_ALT5_IN, CSIH0CSS6_ALT5_OUT, OSTM1ODI_ALT6_IN, OSTM1O_ALT6_OUT, DIO</t>
  </si>
  <si>
    <t>PortGroup2 PortPin11</t>
  </si>
  <si>
    <t>TAUD1I0_ALT1_IN, TAUD1ODI0_ALT2_IN, TAUD1O0_ALT2_OUT, TAUD1I1_ALT3_IN, TAUD1ODI1_ALT4_IN, TAUD1O1_ALT4_OUT, CSIH0CSS5_ALT5_OUT, CSIH1RYI_ALT6_IN, CSIH0RYO_ALT6_OUT, DIO</t>
  </si>
  <si>
    <t>PortGroup2 PortPin12</t>
  </si>
  <si>
    <t>TAUD1I2_ALT1_IN, TAUD1ODI2_ALT2_IN, TAUD1O2_ALT2_OUT, TAUD1I3_ALT3_IN, TAUD1ODI3_ALT4_IN, TAUD1O3_ALT4_OUT, CSIH0CSS4_ALT5_OUT, CCSIH0DCS_ALT6_IN, CSIH0SO_ALT6_OUT, DIO</t>
  </si>
  <si>
    <t>PortGroup2 PortPin13</t>
  </si>
  <si>
    <t>TAUD1I4_ALT1_IN, TAUD1ODI4_ALT2_IN, TAUD1O4_ALT2_OUT, TAUD1I5_ALT3_IN, TAUD1ODI5_ALT4_IN, TAUD1O5_ALT4_OUT, CSIH0CSS3_ALT5_OUT, CSIH1RYO_ALT6_OUT, DIO</t>
  </si>
  <si>
    <t>PortGroup2 PortPin14</t>
  </si>
  <si>
    <t>TAUD1I6_ALT1_IN, TAUD1ODI6_ALT2_IN, TAUD1O6_ALT2_OUT, TAUD1I7_ALT3_IN, TAUD1ODI7_ALT4_IN, TAUD1O7_ALT4_OUT, CSIH0CSS2_ALT5_OUT, DIO</t>
  </si>
  <si>
    <t>PortGroup2 PortPin15</t>
  </si>
  <si>
    <t>TAUD1I8_ALT1_IN, TAUD1ODI8_ALT2_IN, TAUD1O8_ALT2_OUT, TAUD1I9_ALT3_IN, TAUD1ODI9_ALT4_IN, TAUD1O9_ALT4_OUT, CSIH0RYI_ALT5_IN, DIO</t>
  </si>
  <si>
    <t>PortGroup3 PortPin0</t>
  </si>
  <si>
    <t>TAUD1I10_ALT1_IN, TAUD1ODI10_ALT2_IN, TAUD1O10_ALT2_OUT, TAUD1I11_ALT3_IN, TAUD1ODI11_ALT4_IN, TAUD1O11_ALT4_OUT, CSIH0DCS_ALT5_IN, CSIH0SO_ALT5_OUT, CSIG0SI_ALT6_IN, DIO</t>
  </si>
  <si>
    <t>PortGroup3 PortPin1</t>
  </si>
  <si>
    <t>TAUD1I12_ALT1_IN, TAUD1ODI12_ALT2_IN, TAUD1O12_ALT2_OUT, TAUD1I13_ALT3_IN, TAUD1ODI13_ALT4_IN, TAUD1O13_ALT4_OUT, CSIH0SCI_ALT5_IN, CSIH0SCO_ALT5_OUT, CSIG0DCS_ALT6_IN, CSIG0SO_ALT6_OUT, DIO</t>
  </si>
  <si>
    <t>PortGroup3 PortPin2</t>
  </si>
  <si>
    <t>TAUD1I14_ALT1_IN, TAUD1ODI14_ALT2_IN, TAUD1O14_ALT2_OUT, TAUD1I15_ALT3_IN, TAUD1ODI15_ALT4_IN, TAUD1O15_ALT4_OUT, CSIH0SI_ALT5_IN, CSIH0CSS7_ALT5_OUT, CSIG0SCI_ALT6_IN, CSIG0SCO_ALT6_OUT, DIO</t>
  </si>
  <si>
    <t>PortGroup3 PortPin3</t>
  </si>
  <si>
    <t>CSIH0RYI_ALT1_IN, SCI32TX_ALT1_OUT, TAUD1I0_ALT2_IN, CSIH2CSS1_ALT2_OUT, CSIH3SSIZ_ALT4_IN, CSIH3CSS4_ALT4_OUT, TAUD1ODI0_ALT5_IN, TAUD1O0_ALT5_OUT, TAUD1ODI1_ALT6_IN, TAUD1O1_ALT6_OUT, DIO</t>
  </si>
  <si>
    <t>PortGroup3 PortPin4</t>
  </si>
  <si>
    <t>SCI32RX_ALT1_IN, INTP2_ALT1_IN, TAUD1I2_ALT2_IN, CSIH2CSS2_ALT2_OUT, RLIN30RX_ALT3_IN, INTP3_ALT3_IN, CSIG0RYO_ALT3_OUT, CSIH3CSS3_ALT4_OUT, TAUD1ODI2_ALT5_IN, TAUD1O2_ALT5_OUT, TAUD1ODI3_ALT6_IN, TAUD1O3_ALT6_OUT, DIO</t>
  </si>
  <si>
    <t>PortGroup3 PortPin5</t>
  </si>
  <si>
    <t>SCI31SCI_ALT1_IN, SCI31SCO_ALT1_OUT, TAUD0I0_ALT2_IN, CSIH2CSS3_ALT2_OUT, CSIG0RYI_ALT3_IN, RLIN30TX_ALT3_OUT, CSIH3CSS2_ALT4_OUT, TAUD0ODI0_ALT5_IN, TAUD0O0_ALT5_OUT, TAUD0ODI1_ALT6_IN, TAUD0O1_ALT6_OUT, DIO</t>
  </si>
  <si>
    <t>PortGroup3 PortPin6</t>
  </si>
  <si>
    <t>CSIH0SI_ALT1_IN, TSG31O0_ALT2_OUT, TAUD0ODI2_ALT4_IN, TAUD0O2_ALT4_OUT, CSIH3RYI_ALT5_IN, CSIH2CSS4_ALT5_OUT, TAUD0ODI3_ALT6_IN, TAUD0O3_ALT6_OUT, DIO</t>
  </si>
  <si>
    <t>PortGroup3 PortPin7</t>
  </si>
  <si>
    <t>CSIH0DCS_ALT1_IN, CSIH0SO_ALT1_OUT, TSG31ODI1_ALT2_IN, TSG31O1_ALT2_OUT, RSCAN0RX0_ALT3_IN, INTP5_ALT3_IN, SCI30RX_ALT4_IN, INTP0_ALT4_IN, CSIH2RYI_ALT5_IN, CSIH2CSS5_ALT5_OUT, TAUD0ODI5_ALT6_IN, TAUD0O5_ALT6_OUT, DIO</t>
  </si>
  <si>
    <t>PortGroup3 PortPin8</t>
  </si>
  <si>
    <t>CSIH0SCI_ALT1_IN, CSIH0SCO_ALT1_OUT, TSG31ODI2_ALT2_IN, TSG31O2_ALT2_OUT, RSCAN0TX0_ALT3_OUT, TPB1O_ALT4_OUT, CSIH0SSIZ_ALT5_IN, CSIH2CSS6_ALT5_OUT, TAUD0ODI7_ALT6_IN, TAUD0O7_ALT6_OUT, DIO</t>
  </si>
  <si>
    <t>PortGroup3 PortPin9</t>
  </si>
  <si>
    <t>SCI32SCI_ALT1_IN, SCI32SCO_ALT1_OUT, TSG31ODI3_ALT2_IN, TSG31O3_ALT2_OUT, CSIH3CSS5_ALT4_OUT, CSIH0RYI_ALT5_IN, CSIH2CSS7_ALT5_OUT, TAUD0ODI9_ALT6_IN, TAUD0O9_ALT6_OUT, DIO</t>
  </si>
  <si>
    <t>PortGroup3 PortPin10</t>
  </si>
  <si>
    <t>TSG31ODI4_ALT2_IN, TSG31O4_ALT2_OUT, TAUD1I6_ALT5_IN, TAUD0ODI11_ALT6_IN, TAUD0O11_ALT6_OUT, DIO</t>
  </si>
  <si>
    <t>PortGroup3 PortPin11</t>
  </si>
  <si>
    <t>TAUJ0I3_ALT1_IN, TAUJ0O3_ALT1_OUT, SENT4SPCO_ALT2_OUT, ADCD0CNV4_ALT4_OUT, RLIN31TX_ALT6_OUT, DIO</t>
  </si>
  <si>
    <t>PortGroup3 PortPin12</t>
  </si>
  <si>
    <t>CSIH1RYO_ALT1_OUT, TSG31ODI5_ALT2_IN, TSG31O5_ALT2_OUT, INTP6_ALT3_IN, RSCAN0RX1_ALT3_IN, SCI30TX_ALT4_OUT, TAUD1I8_ALT5_IN, CSIH0CSS0_ALT5_OUT, TAUD0ODI13_ALT6_IN, TAUD0O13_ALT6_OUT, DIO</t>
  </si>
  <si>
    <t>PortGroup3 PortPin13</t>
  </si>
  <si>
    <t>CSIH1RYI_ALT1_IN, TSG31ODI6_ALT2_IN, TSG31O6_ALT2_OUT, RSCAN0TX1_ALT3_OUT, SCI30SCI_ALT4_IN, SCI30SCO_ALT4_OUT, TAUD1I10_ALT5_IN, CSIH0CSS1_ALT5_OUT, TAUD0ODI15_ALT6_IN, TAUD0O15_ALT6_OUT, DIO</t>
  </si>
  <si>
    <t>PortGroup3 PortPin14</t>
  </si>
  <si>
    <t>CSIH1SI_ALT1_IN, TAPA0ESO_ALT2_IN, INTP7_ALT2_IN, TPB1O_ALT2_OUT, EXTCLK0O_ALT3_OUT, NMI_ALT4_IN, FLX0CLK_ALT5_IN, TSG31O7_ALT6_OUT, DIO</t>
  </si>
  <si>
    <t>PortGroup4 PortPin0</t>
  </si>
  <si>
    <t>CSIH1DCS_ALT1_IN, CSIH1SO_ALT1_OUT, TAUJ0I0_ALT2_IN, TAUJ0O0_ALT2_OUT, RLIN30RX_ALT3_IN, INTP3_ALT3_IN, TSG30PTSI0_ALT4_IN, ENCA0E0_ALT4_IN, FLX0TXDA_ALT5_OUT, ADCD1CNV0_ALT6_OUT, DIO</t>
  </si>
  <si>
    <t>PortGroup4 PortPin1</t>
  </si>
  <si>
    <t>CSIH1SCI_ALT1_IN, CSIH1SCO_ALT1_OUT, TAUJ0I1_ALT2_IN, TAUJ0O1_ALT2_OUT, RLIN30TX_ALT3_OUT, TSG30PTSI1_ALT4_IN, ENCA0E_ALT4_IN, FLX0TXENA_ALT5_OUT, ADCD1CNV1_ALT6_OUT, DIO</t>
  </si>
  <si>
    <t>PortGroup4 PortPin2</t>
  </si>
  <si>
    <t>RSCAN0RX1_ALT1_IN, INTP6_ALT1_IN, CSIH1RYO_ALT1_OUT, TAUJ0I2_ALT2_IN, TAUJ0O2_ALT2_OUT, SCI30SCI_ALT3_IN, SCI30SCO_ALT3_OUT, TSG30PTSI2_ALT4_IN, ENCA0E1_ALT4_IN, FLX0RXDA_ALT5_IN, INTP11_ALT5_IN, ADCD1CNV2_ALT6_OUT, DIO</t>
  </si>
  <si>
    <t>PortGroup4 PortPin3</t>
  </si>
  <si>
    <t>CSIH2RYI_ALT1_IN, RSCAN0TX1_ALT1_OUT, TAUJ0I3_ALT2_IN, TAUJ0O3_ALT2_OUT, OSTM1ODI_ALT3_IN, OSTM1O_ALT3_OUT, TSG30CLKI_ALT4_IN, CSIH1CSS0_ALT4_OUT, FLX0RXDB_ALT5_IN, INTP12_ALT5_IN, ADCD1CNV3_ALT5_OUT, TAUD2I0_ALT6_IN, TAUD2O0_ALT6_OUT, DIO</t>
  </si>
  <si>
    <t>PortGroup4 PortPin4</t>
  </si>
  <si>
    <t>CSIH2SI_ALT1_IN, TAPA1ESO_ALT2_IN, INTP8_ALT2_IN, CSIH2CSS7_ALT3_OUT, TSG31PTSI0_ALT4_IN, ENCA1E0_ALT4_IN, CSIH1CSS1_ALT4_OUT, FLX0STPWT_ALT5_IN, ADCD1CNV4_ALT5_OUT, TAUD2I1_ALT6_IN, TAUD2O1_ALT6_OUT, DIO</t>
  </si>
  <si>
    <t>PortGroup4 PortPin5</t>
  </si>
  <si>
    <t>CSIH2DCS_ALT1_IN, CSIH2SO_ALT1_OUT, SCI30RX_ALT2_IN, INTP0_ALT2_IN, RSCAN0RX0_ALT3_IN, INTP5_ALT3_IN, EXTCLK1O_ALT3_OUT, TSG31PTSI1_ALT4_IN, ENCA1E1_ALT4_IN, CSIH1CSS2_ALT4_OUT, FLX0TXDB_ALT5_OUT, TAUD2I2_ALT6_IN, TAUD2O2_ALT6_OUT, DIO</t>
  </si>
  <si>
    <t>PortGroup4 PortPin6</t>
  </si>
  <si>
    <t>CSIH2SCI_ALT1_IN, CSIH2SCO_ALT1_OUT, SCI30TX_ALT2_OUT, RSCAN0TX0_ALT3_OUT, TSG31PTSI2_ALT4_IN, ENCA1EC_ALT4_IN, CSIH1CSS3_ALT4_OUT, FLX0TXENB_ALT5_OUT, TAUD2I3_ALT6_IN, TAUD2O2_ALT6_OUT, DIO</t>
  </si>
  <si>
    <t>PortGroup4 PortPin7</t>
  </si>
  <si>
    <t>RSCAN0RX1_ALT1_IN, INTP6_ALT1_IN, CSIH2RYO_ALT1_OUT, FLX0CLK_ALT2_IN, TAUD1O0_ALT2_OUT, ENCA0TIN0_ALT3_IN, CSIH2CSS0_ALT3_OUT, TSG31CLKI_ALT4_IN, CSIH1CSS4_ALT5_OUT, TAUD2I4_ALT6_IN, TAUD2O4_ALT6_OUT, DIO</t>
  </si>
  <si>
    <t>PortGroup4 PortPin8</t>
  </si>
  <si>
    <t>FLX0RXDA_ALT1_IN, INTP11_ALT1_IN, TAUD1O1_ALT2_OUT, ENCA0TIN1_ALT3_IN, CSIH2CSS1_ALT3_OUT, CSIH1SSIZ_ALT4_IN, CSIH1CSS5_ALT5_OUT, TAUD2I5_ALT6_IN, TAUD2O5_ALT6_OUT, DIO</t>
  </si>
  <si>
    <t>PortGroup4 PortPin9</t>
  </si>
  <si>
    <t>FLX0TXDA_ALT1_OUT, TAUD1O2_ALT2_OUT, ENCA1TIN0_ALT3_IN, CSIH2CSS2_ALT3_OUT, CSIH1RYI_ALT4_IN, CSIH1CSS6_ALT5_OUT, TAUD2I6_ALT6_IN, TAUD2O6_ALT6_OUT, DIO</t>
  </si>
  <si>
    <t>PortGroup4 PortPin10</t>
  </si>
  <si>
    <t>FLX0TXENA_ALT1_OUT, TAUD1O3_ALT2_OUT, ENCA1TIN1_ALT3_IN, CSIH2CSS3_ALT3_OUT, CSIH1RYO_ALT4_OUT, CSIH1CSS7_ALT5_OUT, TAUD2I7_ALT6_IN, TAUD2O7_ALT6_OUT, DIO</t>
  </si>
  <si>
    <t>PortGroup4 PortPin11</t>
  </si>
  <si>
    <t>FLX0RXDB_ALT1_IN, INTP12_ALT1_IN, TAUD1O4_ALT2_OUT, CSIH2CSS4_ALT3_OUT, TAUJ1I0_ALT4_IN, TAUJ1O0_ALT4_OUT, TAUD2I8_ALT6_IN, TAUD2O8_ALT6_OUT, DIO</t>
  </si>
  <si>
    <t>PortGroup4 PortPin12</t>
  </si>
  <si>
    <t>FLX0TXDB_ALT1_OUT, TAUD1O5_ALT2_OUT, CSIH2CSS5_ALT3_OUT, TAUJ1I1_ALT4_IN, TAUJ1O1_ALT4_OUT, TAUD2I9_ALT6_IN, TAUD2O9_ALT6_OUT, DIO</t>
  </si>
  <si>
    <t>PortGroup4 PortPin13</t>
  </si>
  <si>
    <t>FLX0TXENB_ALT1_OUT, TAUD1O6_ALT2_OUT, CSIH2SSIZ_ALT3_IN, TAUJ1I2_ALT4_IN, TAUJ1O2_ALT4_OUT, TAUD2I10_ALT6_IN, TAUD2O10_ALT6_OUT, DIO</t>
  </si>
  <si>
    <t>PortGroup4 PortPin14</t>
  </si>
  <si>
    <t>FLX0STPWT_ALT1_IN, TAUD1O7_ALT2_OUT, CSIH2CSS6_ALT3_OUT, TAUJ1I3_ALT4_IN, TAUJ1O3_ALT4_OUT, TAUD2I11_ALT6_IN, TAUD2O11_ALT6_OUT, DIO</t>
  </si>
  <si>
    <t>PortGroup5 PortPin0</t>
  </si>
  <si>
    <t>CSIG0SI_ALT1_IN, TAUD0ODI0_ALT2_IN, TAUD0O0_ALT2_OUT, TAUD0I1_ALT3_IN, TAUD0O1_ALT4_OUT, TAUD0ODI1_ALT4_IN, CSIH2CSS1_ALT5_OUT, SCI30RX_ALT6_IN, INTP0_ALT6_IN, DIO</t>
  </si>
  <si>
    <t>PortGroup5 PortPin1</t>
  </si>
  <si>
    <t>CSIG0DCS_ALT1_IN, CSIG0SO_ALT1_OUT, TAUD0ODI2_ALT2_OUT, TAUD0O2_ALT2_OUT, TAUD0I3_ALT3_IN, ADCD0CNV0_ALT3_OUT, TAUD0ODI3_ALT4_IN, TAUD0O3_ALT4_OUT, TAUD0I2_ALT5_IN, CSIH2CSS2_ALT5_OUT, SCI30TX_ALT56_OUT, DIO</t>
  </si>
  <si>
    <t>PortGroup5 PortPin2</t>
  </si>
  <si>
    <t>CSIG0SCI_ALT1_IN, CSIG0SCO_ALT1_OUT, TAUD0ODI2_ALT2_IN, TAUD0O2_ALT2_OUT, TAUD0I14_ALT3_IN, TAUD0ODI3_ALT4_IN, TAUD0O3_ALT4_OUT, TAUD0I15_ALT5_IN, SCI30SCI_ALT6_IN, SCI30SCO_ALT6_OUT, DIO</t>
  </si>
  <si>
    <t>PortGroup5 PortPin3</t>
  </si>
  <si>
    <t>TAUD0I7_ALT3_IN, TAUD0I6_ALT5_IN, DIO</t>
  </si>
  <si>
    <t>PortGroup5 PortPin4</t>
  </si>
  <si>
    <t>CSIG0SCI_ALT1_IN, CSIG0SCO_ALT1_OUT, TAUD0ODI4_ALT2_IN, TAUD0O4_ALT2_OUT, TAUD0I5_ALT3_IN, ADCD0CNV1_ALT3_OUT, TAUD0ODI5_ALT4_IN, TAUD0O5_ALT4_OUT, TAUD0I4_ALT5_IN, CSIH2CSS3_ALT5_OUT, SCI30SCI_ALT6_IN, SCI30SCO_ALT6_OUT, DIO</t>
  </si>
  <si>
    <t>PortGroup5 PortPin5</t>
  </si>
  <si>
    <t>SENT0RX_ALT1_IN, SENT0SPCO_ALT1_OUT, TAUD0ODI6_ALT2_IN, TAUD0O6_ALT2_OUT, TAUD0I7_ALT3_IN, ADCD0CNV2_ALT3_OUT, TAUD0ODI7_ALT4_IN, TAUD0O7_ALT4_OUT, TAUD0I6_ALT5_IN, CSIH2CSS4_ALT5_OUT, SCI31RX_ALT6_IN, INT1_ALT6_IN, DIO</t>
  </si>
  <si>
    <t>PortGroup5 PortPin6</t>
  </si>
  <si>
    <t>INTP10_ALT1_IN, SENT0SPCO_ALT1_OUT, TAUD0ODI8_ALT2_IN, TAUD0O8_ALT2_OUT, TAUD0I9_ALT3_IN, ADCD0CNV3_ALT3_OUT, TAUD0ODI9_ALT4_IN, TAUD0O9_ALT4_OUT, TAUD0I8_ALT5_IN, CSIH2CSS5_ALT5_OUT, SCI31TX_ALT6_OUT, DIO</t>
  </si>
  <si>
    <t>PortGroup5 PortPin7</t>
  </si>
  <si>
    <t>TAUD0ODI10_ALT2_IN, TAUD0O10_ALT2_OUT, TAUD0I11_ALT3_IN, ADCD0CNV4_ALT3_OUT, TAUD0ODI11_ALT4_OIN, TAUD0O11_ALT4_OUT, TAUD0I10_ALT5_IN, CSIH2CSS6_ALT5_OUT, SCI31SCI_ALT6_IN, SCI31SCO_ALT6_OUT, DIO</t>
  </si>
  <si>
    <t>PortGroup5 PortPin8</t>
  </si>
  <si>
    <t>SENT1RX_ALT1_IN, SENT1SPCO_ALT1_OUT, TAUD0ODI12_ALT2_IN, TAUD0O12_ALT2_OUT, TAUD0I13_ALT3_IN, TAUD0ODI13_ALT4_IN, TAUD0O13_ALT4_OUT, TAUD0I12_ALT5_IN, CSIH2CSS7_ALT5_OUT, SCI32RX_ALT6_IN, INTP2_ALT6_IN, DIO</t>
  </si>
  <si>
    <t>PortGroup5 PortPin9</t>
  </si>
  <si>
    <t>TAUD0I14_ALT1_IN, SENT1SPCO_ALT1_OUT, TAUD0ODI14_ALT2_IN, TAUD0O14_ALT2_OUT, TAUD0I15_ALT3_IN, TAUD0ODI15_ALT4_IN, TAUD0O15_ALT4_OUT, PSI51DIN_ALT5_IN, SCI32TX_ALT6_OUT, DIO</t>
  </si>
  <si>
    <t>PortGroup5 PortPin10</t>
  </si>
  <si>
    <t>RLIN30RX_ALT1_IN, INTP3_ALT1_IN, ADCATRG0_ALT4_IN, ADCD0CNV0_ALT4_OUT, PSI51DOUT_ALT5_OUT, SCI32SCI_ALT6_IN, SCI32SCO_ALT6_OUT, DIO</t>
  </si>
  <si>
    <t>PortGroup5 PortPin11</t>
  </si>
  <si>
    <t>RLIN30TX_ALT1_OUT, SENT3RX_ALT2_IN, SENT3SPCO_ALT2_OUT, TAUD1O10_ALT3_OUT, TAUD1ODI10_ALT3_IN, DIO</t>
  </si>
  <si>
    <t>PortGroup5 PortPin12</t>
  </si>
  <si>
    <t>RLIN31RX_ALT1_IN, INT4_ALT1_IN, SENT2RX_ALT2_IN, SENT2SPCO_ALT2_OUT, TAUD1O11_ALT3_OUT, TAUD1ODI11_ALT3_IN, DIO</t>
  </si>
  <si>
    <t>PortGroup5 PortPin13</t>
  </si>
  <si>
    <t>RLIN31TX_ALT1_OUT, SENT2SPCO_ALT2_OUT, TAUD1ODI12_ALT3_IN, TAUD1O12_ALT3_OUT, TAUD0I13_ALT4_IN, TAUD0I12_ALT5_IN, DIO</t>
  </si>
  <si>
    <t>PortGroup5 PortPin14</t>
  </si>
  <si>
    <t>TAUJ0I0_ALT1_IN, TAUJ0O0_ALT1_OUT, SENT3RX_ALT2_IN, SENT3SPCO_ALT2_OUT, TAUD1ODI13_ALT3_IN, TAUD1O13_ALT3_OUT, ADCATRG1_ALT4_IN, ADCD0CNV1_ALT4_OUT, PSI50DIN_ALT5_IN, RLIN30RX_ALT6_IN, INTP3_ALT6_IN, DIO</t>
  </si>
  <si>
    <t>PortGroup5 PortPin15</t>
  </si>
  <si>
    <t>RLIN31RX_ALT1_IN, INTP4_ALT1_IN, SENT3SPCO_ALT2_OUT, RLIN30TX_ALT6_OUT, DIO</t>
  </si>
  <si>
    <t>PortGroupJtag0 PortPin0</t>
  </si>
  <si>
    <t>PJtag0_0</t>
  </si>
  <si>
    <t>FLS3RXD_ALT3_IN_SUPP_PFCE_PMCSR, FLS3TXD_ALT3_OUT_SUPP_PFCE_PMCSR, DIO_SUPP_PFCE_PMCSR</t>
  </si>
  <si>
    <t>OpenDrain_PushPull_SUPP_PODC, OpenDrain_N_Channel_SUPP_PODC, OpenDrain_P_Channel_SUPP_PODC</t>
  </si>
  <si>
    <t>PortGroupJtag0 PortPin1</t>
  </si>
  <si>
    <t>PJtag0_1</t>
  </si>
  <si>
    <t>FLS3TXD_ALT3_OUT_SUPP_PFCE_PMCSR, DIO_SUPP_PFCE_PMCSR</t>
  </si>
  <si>
    <t>PortGroupJtag0 PortPin2</t>
  </si>
  <si>
    <t>PJtag0_2</t>
  </si>
  <si>
    <t>FLS3SCKI_ALT3_IN_SUPP_PFCE_PMCSR, DIO_SUPP_PFCE_PMCSR</t>
  </si>
  <si>
    <t>PortGroupJtag0 PortPin3</t>
  </si>
  <si>
    <t>PJtag0_3</t>
  </si>
  <si>
    <t>DIO_SUPP_PFCE_PMCSR</t>
  </si>
  <si>
    <t>PortGroupJtag0 PortPin4</t>
  </si>
  <si>
    <t>PJtag0_4</t>
  </si>
  <si>
    <t>PortGroupJtag0 PortPin5</t>
  </si>
  <si>
    <t>PJtag0_5</t>
  </si>
  <si>
    <t>PORT_PIN_LEVEL_LOW</t>
  </si>
  <si>
    <t>CSIH1SI_ALT1_IN</t>
  </si>
  <si>
    <t>DIO</t>
  </si>
  <si>
    <t>CSIH1CSS0_ALT4_OUT</t>
  </si>
  <si>
    <t>CSIG0SI_ALT1_IN</t>
  </si>
  <si>
    <t>CSIG0SO_ALT1_OUT</t>
  </si>
  <si>
    <t>CSIG0SCO_ALT1_OUT</t>
  </si>
  <si>
    <t>TAUJ0I0_ALT1_IN</t>
  </si>
  <si>
    <t>TAUJ0I1_ALT1_IN</t>
  </si>
  <si>
    <t>TAUJ0I3_ALT1_IN</t>
  </si>
  <si>
    <t>TAUJ1I0_ALT1_IN</t>
  </si>
  <si>
    <t>TAUJ1I1_ALT1_IN</t>
  </si>
  <si>
    <t>TAUJ1I2_ALT1_IN</t>
  </si>
  <si>
    <t>CSIH2CSS0_ALT4_OUT</t>
  </si>
  <si>
    <t>CSIH2SI_ALT4_IN</t>
  </si>
  <si>
    <t>CSIH2SO_ALT4_OUT</t>
  </si>
  <si>
    <t>CSIH2SCO_ALT4_OUT</t>
  </si>
  <si>
    <t>RSCAN0RX0_ALT1_IN</t>
  </si>
  <si>
    <t>RSCAN0TX0_ALT1_OUT</t>
  </si>
  <si>
    <t>CSIH3SO_ALT4_OUT</t>
  </si>
  <si>
    <t>CSIH3SI_ALT4_IN</t>
  </si>
  <si>
    <t>CSIH3SCO_ALT4_OUT</t>
  </si>
  <si>
    <t>CSIH1SO_ALT3_OUT</t>
  </si>
  <si>
    <t>CSIH1SCO_ALT3_OUT</t>
  </si>
  <si>
    <t>CSIH0CSS2_ALT5_OUT</t>
  </si>
  <si>
    <t>CSIH0SO_ALT5_OUT</t>
  </si>
  <si>
    <t>CSIH0SCO_ALT5_OUT</t>
  </si>
  <si>
    <t>CSIH0SI_ALT5_IN</t>
  </si>
  <si>
    <t>CSIH3CSS4_ALT4_OUT</t>
  </si>
  <si>
    <t>TSG31O1_ALT2_OUT</t>
  </si>
  <si>
    <t>TSG31O2_ALT2_OUT</t>
  </si>
  <si>
    <t>TSG31O3_ALT2_OUT</t>
  </si>
  <si>
    <t>TSG31O4_ALT2_OUT</t>
  </si>
  <si>
    <t>TSG31O5_ALT2_OUT</t>
  </si>
  <si>
    <t>TSG31O6_ALT2_OUT</t>
  </si>
  <si>
    <t>PORT_PIN_IN</t>
  </si>
  <si>
    <t>PORT_PIN_OUT</t>
  </si>
  <si>
    <t>OpenDrain_PushPull</t>
  </si>
  <si>
    <t>OpenDrain_N_Channel</t>
  </si>
  <si>
    <t>Don’t Care/Unused</t>
  </si>
  <si>
    <t>NA (input) - Slow</t>
  </si>
  <si>
    <t>NA (input buffer disabled) - TYPE_1_SUPP_PISA</t>
  </si>
  <si>
    <t>False (DIO mode &amp; input buffer)</t>
  </si>
  <si>
    <t>OpenDrain_N_Channel (NA - input)</t>
  </si>
  <si>
    <t>False (input)</t>
  </si>
  <si>
    <t>False (DIO)</t>
  </si>
  <si>
    <t>PORT_PIN_LEVEL_LOW  (Input)</t>
  </si>
  <si>
    <t>FALSE (per Renesas schematic review)</t>
  </si>
  <si>
    <t>Slow (NA - Input)</t>
  </si>
  <si>
    <t>TYPE_1_SUPP_PISA</t>
  </si>
  <si>
    <t>PORT_PIN_LEVEL_HIGH</t>
  </si>
  <si>
    <t>DIO - Matters</t>
  </si>
  <si>
    <t>NonDIO - False</t>
  </si>
  <si>
    <t>OpenDrain_N_Channel_SUPP_PODC</t>
  </si>
  <si>
    <t>CAN2_RX</t>
  </si>
  <si>
    <t>CAN2_TX</t>
  </si>
  <si>
    <t>RSCAN0RX1</t>
  </si>
  <si>
    <t>RSCAN0TX1</t>
  </si>
  <si>
    <t>Can2Tx</t>
  </si>
  <si>
    <t>Can2Rx</t>
  </si>
  <si>
    <t>CAN2</t>
  </si>
  <si>
    <t>RSCAN0TX1_ALT1_OUT</t>
  </si>
  <si>
    <t>RSCAN0RX1_ALT1_IN</t>
  </si>
  <si>
    <t>SLOW</t>
  </si>
  <si>
    <t>Di</t>
  </si>
  <si>
    <t>MotDrv0Diag</t>
  </si>
  <si>
    <t>MotDrv1Diag</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</si>
</sst>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scheme val="minor"/>
    </font>
    <font>
      <sz val="12"/>
      <color theme="1"/>
      <name val="Calibri"/>
      <family val="2"/>
      <scheme val="minor"/>
    </font>
    <font>
      <sz val="12"/>
      <color rgb="FF000000"/>
      <name val="Calibri"/>
      <family val="2"/>
      <scheme val="minor"/>
    </font>
    <font>
      <b/>
      <sz val="11"/>
      <color theme="1"/>
      <name val="Calibri"/>
      <family val="2"/>
      <scheme val="minor"/>
    </font>
    <font>
      <sz val="11"/>
      <color rgb="FF006100"/>
      <name val="Calibri"/>
      <family val="2"/>
      <scheme val="minor"/>
    </font>
    <font>
      <sz val="11"/>
      <color theme="1"/>
      <name val="Calibri"/>
      <family val="2"/>
      <scheme val="minor"/>
    </font>
    <font>
      <b/>
      <sz val="12"/>
      <color theme="1"/>
      <name val="Calibri"/>
      <family val="2"/>
      <scheme val="minor"/>
    </font>
    <font>
      <b/>
      <sz val="12"/>
      <color rgb="FF006100"/>
      <name val="Calibri"/>
      <family val="2"/>
      <scheme val="minor"/>
    </font>
  </fonts>
  <fills count="6">
    <fill>
      <patternFill patternType="none"/>
    </fill>
    <fill>
      <patternFill patternType="gray125"/>
    </fill>
    <fill>
      <patternFill patternType="solid">
        <fgColor rgb="FFFF0000"/>
        <bgColor indexed="64"/>
      </patternFill>
    </fill>
    <fill>
      <patternFill patternType="solid">
        <fgColor rgb="FFC6EFCE"/>
      </patternFill>
    </fill>
    <fill>
      <patternFill patternType="solid">
        <fgColor theme="5" tint="0.59999389629810485"/>
        <bgColor indexed="65"/>
      </patternFill>
    </fill>
    <fill>
      <patternFill patternType="solid">
        <fgColor rgb="FF00B0F0"/>
        <bgColor indexed="64"/>
      </patternFill>
    </fill>
  </fills>
  <borders count="1">
    <border>
      <left/>
      <right/>
      <top/>
      <bottom/>
      <diagonal/>
    </border>
  </borders>
  <cellStyleXfs count="3">
    <xf numFmtId="0" fontId="0" fillId="0" borderId="0"/>
    <xf numFmtId="0" fontId="4" fillId="3" borderId="0" applyNumberFormat="0" applyBorder="0" applyAlignment="0" applyProtection="0"/>
    <xf numFmtId="0" fontId="5" fillId="4" borderId="0" applyNumberFormat="0" applyBorder="0" applyAlignment="0" applyProtection="0"/>
  </cellStyleXfs>
  <cellXfs count="22">
    <xf numFmtId="0" fontId="0" fillId="0" borderId="0" xfId="0"/>
    <xf numFmtId="0" fontId="0" fillId="0" borderId="0" xfId="0" applyAlignment="1">
      <alignment wrapText="1"/>
    </xf>
    <xf numFmtId="0" fontId="3" fillId="0" borderId="0" xfId="0" applyFont="1"/>
    <xf numFmtId="0" fontId="3" fillId="0" borderId="0" xfId="0" applyFont="1" applyAlignment="1">
      <alignment wrapText="1"/>
    </xf>
    <xf numFmtId="0" fontId="0" fillId="0" borderId="0" xfId="0" applyAlignment="1">
      <alignment textRotation="90"/>
    </xf>
    <xf numFmtId="0" fontId="0" fillId="0" borderId="0" xfId="0" applyFill="1" applyAlignment="1">
      <alignment textRotation="90"/>
    </xf>
    <xf numFmtId="0" fontId="1" fillId="0" borderId="0" xfId="0" applyFont="1" applyAlignment="1">
      <alignment horizontal="left"/>
    </xf>
    <xf numFmtId="0" fontId="1" fillId="0" borderId="0" xfId="0" applyFont="1" applyFill="1" applyAlignment="1">
      <alignment horizontal="left"/>
    </xf>
    <xf numFmtId="0" fontId="0" fillId="0" borderId="0" xfId="0"/>
    <xf numFmtId="0" fontId="3" fillId="0" borderId="0" xfId="0" applyFont="1" applyAlignment="1">
      <alignment horizontal="left" wrapText="1"/>
    </xf>
    <xf numFmtId="0" fontId="0" fillId="0" borderId="0" xfId="0" applyAlignment="1">
      <alignment horizontal="left" wrapText="1"/>
    </xf>
    <xf numFmtId="0" fontId="1" fillId="2" borderId="0" xfId="0" applyFont="1" applyFill="1" applyAlignment="1">
      <alignment horizontal="left"/>
    </xf>
    <xf numFmtId="0" fontId="1" fillId="5" borderId="0" xfId="0" applyFont="1" applyFill="1" applyAlignment="1">
      <alignment horizontal="left"/>
    </xf>
    <xf numFmtId="0" fontId="1" fillId="0" borderId="0" xfId="0" applyFont="1" applyAlignment="1">
      <alignment horizontal="left" textRotation="90" wrapText="1"/>
    </xf>
    <xf numFmtId="0" fontId="1" fillId="0" borderId="0" xfId="0" applyFont="1" applyFill="1" applyAlignment="1">
      <alignment horizontal="left" textRotation="90" wrapText="1"/>
    </xf>
    <xf numFmtId="0" fontId="6" fillId="0" borderId="0" xfId="0" applyFont="1" applyFill="1" applyAlignment="1">
      <alignment horizontal="left" textRotation="90"/>
    </xf>
    <xf numFmtId="0" fontId="1" fillId="4" borderId="0" xfId="2" applyFont="1" applyAlignment="1">
      <alignment horizontal="left" textRotation="90"/>
    </xf>
    <xf numFmtId="0" fontId="1" fillId="0" borderId="0" xfId="0" applyFont="1" applyFill="1" applyAlignment="1">
      <alignment horizontal="left" wrapText="1"/>
    </xf>
    <xf numFmtId="0" fontId="1" fillId="0" borderId="0" xfId="0" quotePrefix="1" applyFont="1" applyAlignment="1">
      <alignment horizontal="left"/>
    </xf>
    <xf numFmtId="0" fontId="1" fillId="0" borderId="0" xfId="0" quotePrefix="1" applyFont="1" applyFill="1" applyAlignment="1">
      <alignment horizontal="left"/>
    </xf>
    <xf numFmtId="0" fontId="2" fillId="0" borderId="0" xfId="0" applyFont="1" applyFill="1" applyAlignment="1">
      <alignment horizontal="left"/>
    </xf>
    <xf numFmtId="0" fontId="7" fillId="3" borderId="0" xfId="1" applyFont="1" applyAlignment="1">
      <alignment horizontal="left" textRotation="90" wrapText="1"/>
    </xf>
  </cellXfs>
  <cellStyles count="3">
    <cellStyle name="40% - Accent2" xfId="2" builtinId="35"/>
    <cellStyle name="Good" xfId="1" builtinId="26"/>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2</xdr:row>
      <xdr:rowOff>0</xdr:rowOff>
    </xdr:from>
    <xdr:to>
      <xdr:col>5</xdr:col>
      <xdr:colOff>990989</xdr:colOff>
      <xdr:row>23</xdr:row>
      <xdr:rowOff>123474</xdr:rowOff>
    </xdr:to>
    <xdr:pic>
      <xdr:nvPicPr>
        <xdr:cNvPr id="2" name="Picture 1"/>
        <xdr:cNvPicPr>
          <a:picLocks noChangeAspect="1"/>
        </xdr:cNvPicPr>
      </xdr:nvPicPr>
      <xdr:blipFill>
        <a:blip xmlns:r="http://schemas.openxmlformats.org/officeDocument/2006/relationships" r:embed="rId1"/>
        <a:stretch>
          <a:fillRect/>
        </a:stretch>
      </xdr:blipFill>
      <xdr:spPr>
        <a:xfrm>
          <a:off x="10698480" y="365760"/>
          <a:ext cx="4465707" cy="5372566"/>
        </a:xfrm>
        <a:prstGeom prst="rect">
          <a:avLst/>
        </a:prstGeom>
      </xdr:spPr>
    </xdr:pic>
    <xdr:clientData/>
  </xdr:twoCellAnchor>
  <xdr:twoCellAnchor editAs="oneCell">
    <xdr:from>
      <xdr:col>3</xdr:col>
      <xdr:colOff>7620</xdr:colOff>
      <xdr:row>37</xdr:row>
      <xdr:rowOff>160020</xdr:rowOff>
    </xdr:from>
    <xdr:to>
      <xdr:col>6</xdr:col>
      <xdr:colOff>2690494</xdr:colOff>
      <xdr:row>50</xdr:row>
      <xdr:rowOff>506934</xdr:rowOff>
    </xdr:to>
    <xdr:pic>
      <xdr:nvPicPr>
        <xdr:cNvPr id="3" name="Picture 2"/>
        <xdr:cNvPicPr>
          <a:picLocks noChangeAspect="1"/>
        </xdr:cNvPicPr>
      </xdr:nvPicPr>
      <xdr:blipFill>
        <a:blip xmlns:r="http://schemas.openxmlformats.org/officeDocument/2006/relationships" r:embed="rId2"/>
        <a:stretch>
          <a:fillRect/>
        </a:stretch>
      </xdr:blipFill>
      <xdr:spPr>
        <a:xfrm>
          <a:off x="10706100" y="6195060"/>
          <a:ext cx="7300593" cy="345215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V147"/>
  <sheetViews>
    <sheetView tabSelected="1" zoomScale="55" zoomScaleNormal="55" workbookViewId="0">
      <selection activeCell="H125" sqref="A125:XFD125"/>
    </sheetView>
  </sheetViews>
  <sheetFormatPr defaultColWidth="8.85546875" defaultRowHeight="15.75" x14ac:dyDescent="0.25"/>
  <cols>
    <col min="1" max="1" width="7.28515625" style="6" bestFit="1" customWidth="1"/>
    <col min="2" max="2" width="11.42578125" style="7" bestFit="1" customWidth="1"/>
    <col min="3" max="3" width="10.28515625" style="7" customWidth="1"/>
    <col min="4" max="4" width="30.7109375" style="7" customWidth="1"/>
    <col min="5" max="5" width="21.28515625" style="7" bestFit="1" customWidth="1"/>
    <col min="6" max="6" width="12.85546875" style="7" bestFit="1" customWidth="1"/>
    <col min="7" max="7" width="15.7109375" style="7" bestFit="1" customWidth="1"/>
    <col min="8" max="11" width="14.7109375" style="6" customWidth="1"/>
    <col min="12" max="12" width="46.42578125" style="6" customWidth="1"/>
    <col min="13" max="13" width="32.7109375" style="7" customWidth="1"/>
    <col min="14" max="14" width="40.5703125" style="6" customWidth="1"/>
    <col min="15" max="15" width="14.7109375" style="6" customWidth="1"/>
    <col min="16" max="19" width="14.7109375" style="7" customWidth="1"/>
    <col min="20" max="20" width="42.5703125" style="7" customWidth="1"/>
    <col min="21" max="21" width="14.7109375" style="7" customWidth="1"/>
    <col min="22" max="23" width="14.7109375" style="6" customWidth="1"/>
    <col min="24" max="24" width="26.85546875" style="7" customWidth="1"/>
    <col min="25" max="25" width="14.7109375" style="7" customWidth="1"/>
    <col min="26" max="26" width="16.85546875" style="6" customWidth="1"/>
    <col min="27" max="28" width="16.85546875" style="6" bestFit="1" customWidth="1"/>
    <col min="29" max="29" width="59.28515625" style="6" bestFit="1" customWidth="1"/>
    <col min="30" max="30" width="81.28515625" style="6" customWidth="1"/>
    <col min="31" max="31" width="36.7109375" style="6" bestFit="1" customWidth="1"/>
    <col min="32" max="32" width="17.28515625" style="6" bestFit="1" customWidth="1"/>
    <col min="33" max="41" width="6" style="6" bestFit="1" customWidth="1"/>
    <col min="42" max="42" width="13.42578125" style="6" customWidth="1"/>
    <col min="43" max="43" width="6.7109375" style="7" bestFit="1" customWidth="1"/>
    <col min="44" max="44" width="19.5703125" style="7" bestFit="1" customWidth="1"/>
    <col min="45" max="45" width="13.42578125" style="7" bestFit="1" customWidth="1"/>
    <col min="46" max="46" width="10.42578125" style="7" bestFit="1" customWidth="1"/>
    <col min="47" max="47" width="7.7109375" style="6" bestFit="1" customWidth="1"/>
    <col min="48" max="48" width="166.28515625" style="6" bestFit="1" customWidth="1"/>
    <col min="49" max="16384" width="8.85546875" style="6"/>
  </cols>
  <sheetData>
    <row r="1" spans="1:48" ht="15.6" x14ac:dyDescent="0.3">
      <c r="A1" s="6" t="s">
        <v>2</v>
      </c>
      <c r="B1" s="7" t="s">
        <v>3</v>
      </c>
      <c r="D1" s="7" t="s">
        <v>4</v>
      </c>
      <c r="G1" s="7" t="s">
        <v>5</v>
      </c>
      <c r="AV1" s="6" t="s">
        <v>1</v>
      </c>
    </row>
    <row r="2" spans="1:48" s="13" customFormat="1" ht="204" customHeight="1" x14ac:dyDescent="0.25">
      <c r="B2" s="14" t="s">
        <v>261</v>
      </c>
      <c r="C2" s="14" t="s">
        <v>349</v>
      </c>
      <c r="D2" s="14" t="s">
        <v>259</v>
      </c>
      <c r="E2" s="14" t="s">
        <v>366</v>
      </c>
      <c r="F2" s="14" t="s">
        <v>262</v>
      </c>
      <c r="G2" s="14" t="s">
        <v>260</v>
      </c>
      <c r="H2" s="13" t="s">
        <v>273</v>
      </c>
      <c r="I2" s="21" t="s">
        <v>432</v>
      </c>
      <c r="J2" s="21" t="s">
        <v>428</v>
      </c>
      <c r="K2" s="21" t="s">
        <v>448</v>
      </c>
      <c r="L2" s="21" t="s">
        <v>444</v>
      </c>
      <c r="M2" s="21" t="s">
        <v>440</v>
      </c>
      <c r="N2" s="21" t="s">
        <v>436</v>
      </c>
      <c r="O2" s="21" t="s">
        <v>409</v>
      </c>
      <c r="P2" s="21" t="s">
        <v>401</v>
      </c>
      <c r="Q2" s="21" t="s">
        <v>415</v>
      </c>
      <c r="R2" s="21" t="s">
        <v>456</v>
      </c>
      <c r="S2" s="21" t="s">
        <v>452</v>
      </c>
      <c r="T2" s="21" t="s">
        <v>419</v>
      </c>
      <c r="U2" s="21" t="s">
        <v>424</v>
      </c>
      <c r="V2" s="21" t="s">
        <v>404</v>
      </c>
      <c r="W2" s="21" t="s">
        <v>460</v>
      </c>
      <c r="X2" s="21" t="s">
        <v>411</v>
      </c>
      <c r="Y2" s="15"/>
      <c r="Z2" s="16" t="s">
        <v>432</v>
      </c>
      <c r="AA2" s="16" t="s">
        <v>428</v>
      </c>
      <c r="AB2" s="16" t="s">
        <v>448</v>
      </c>
      <c r="AC2" s="16" t="s">
        <v>444</v>
      </c>
      <c r="AD2" s="16" t="s">
        <v>440</v>
      </c>
      <c r="AE2" s="16" t="s">
        <v>436</v>
      </c>
      <c r="AF2" s="16" t="s">
        <v>409</v>
      </c>
      <c r="AG2" s="16" t="s">
        <v>401</v>
      </c>
      <c r="AH2" s="16" t="s">
        <v>415</v>
      </c>
      <c r="AI2" s="16" t="s">
        <v>456</v>
      </c>
      <c r="AJ2" s="16" t="s">
        <v>452</v>
      </c>
      <c r="AK2" s="16" t="s">
        <v>419</v>
      </c>
      <c r="AL2" s="16" t="s">
        <v>424</v>
      </c>
      <c r="AM2" s="16" t="s">
        <v>404</v>
      </c>
      <c r="AN2" s="16" t="s">
        <v>460</v>
      </c>
      <c r="AO2" s="16" t="s">
        <v>411</v>
      </c>
      <c r="AQ2" s="14" t="s">
        <v>266</v>
      </c>
      <c r="AR2" s="14"/>
      <c r="AS2" s="14" t="s">
        <v>263</v>
      </c>
      <c r="AT2" s="14" t="s">
        <v>264</v>
      </c>
      <c r="AU2" s="13" t="s">
        <v>265</v>
      </c>
    </row>
    <row r="3" spans="1:48" ht="15.6" x14ac:dyDescent="0.3">
      <c r="B3" s="7">
        <f>SUM(B4:B998)</f>
        <v>10440</v>
      </c>
      <c r="L3" s="7"/>
    </row>
    <row r="4" spans="1:48" ht="15.6" x14ac:dyDescent="0.3">
      <c r="A4" s="6">
        <v>34</v>
      </c>
      <c r="B4" s="7">
        <v>39</v>
      </c>
      <c r="D4" s="7" t="s">
        <v>57</v>
      </c>
      <c r="E4" s="7" t="s">
        <v>57</v>
      </c>
      <c r="F4" s="7" t="s">
        <v>257</v>
      </c>
      <c r="G4" s="7" t="s">
        <v>57</v>
      </c>
      <c r="H4" s="6" t="s">
        <v>57</v>
      </c>
      <c r="I4" s="6" t="e">
        <v>#N/A</v>
      </c>
      <c r="J4" s="6" t="e">
        <v>#N/A</v>
      </c>
      <c r="K4" s="6" t="e">
        <v>#N/A</v>
      </c>
      <c r="L4" s="6" t="e">
        <v>#N/A</v>
      </c>
      <c r="M4" s="7" t="e">
        <v>#N/A</v>
      </c>
      <c r="N4" s="6" t="e">
        <v>#N/A</v>
      </c>
      <c r="O4" s="6" t="e">
        <v>#N/A</v>
      </c>
      <c r="P4" s="7" t="e">
        <v>#N/A</v>
      </c>
      <c r="Q4" s="7" t="e">
        <v>#N/A</v>
      </c>
      <c r="R4" s="7" t="e">
        <v>#N/A</v>
      </c>
      <c r="S4" s="7" t="e">
        <v>#N/A</v>
      </c>
      <c r="T4" s="7" t="e">
        <v>#N/A</v>
      </c>
      <c r="U4" s="7" t="e">
        <v>#N/A</v>
      </c>
      <c r="V4" s="6" t="e">
        <v>#N/A</v>
      </c>
      <c r="W4" s="6" t="e">
        <v>#N/A</v>
      </c>
      <c r="X4" s="7" t="e">
        <v>#N/A</v>
      </c>
      <c r="Z4" s="6" t="e">
        <f>VLOOKUP(H4,PortConfigOptions!$B$1:$R$89,2,FALSE)</f>
        <v>#N/A</v>
      </c>
      <c r="AA4" s="6" t="e">
        <f>VLOOKUP(H4,PortConfigOptions!$B$1:$R$89,3,FALSE)</f>
        <v>#N/A</v>
      </c>
      <c r="AB4" s="6" t="e">
        <f>VLOOKUP(H4,PortConfigOptions!$B$1:$R$89,4,FALSE)</f>
        <v>#N/A</v>
      </c>
      <c r="AC4" s="6" t="e">
        <f>VLOOKUP(H4,PortConfigOptions!$B$1:$R$89,5,FALSE)</f>
        <v>#N/A</v>
      </c>
      <c r="AD4" s="6" t="e">
        <f>VLOOKUP(H4,PortConfigOptions!$B$1:$R$89,6,FALSE)</f>
        <v>#N/A</v>
      </c>
      <c r="AE4" s="6" t="e">
        <f>VLOOKUP(H4,PortConfigOptions!$B$1:$R$89,7,FALSE)</f>
        <v>#N/A</v>
      </c>
      <c r="AF4" s="6" t="e">
        <f>VLOOKUP(H4,PortConfigOptions!$B$1:$R$89,8,FALSE)</f>
        <v>#N/A</v>
      </c>
      <c r="AG4" s="6" t="e">
        <f>VLOOKUP(H4,PortConfigOptions!$B$1:$R$89,9,FALSE)</f>
        <v>#N/A</v>
      </c>
      <c r="AH4" s="6" t="e">
        <f>VLOOKUP(H4,PortConfigOptions!$B$1:$R$89,10,FALSE)</f>
        <v>#N/A</v>
      </c>
      <c r="AI4" s="6" t="e">
        <f>VLOOKUP(H4,PortConfigOptions!$B$1:$R$89,11,FALSE)</f>
        <v>#N/A</v>
      </c>
      <c r="AJ4" s="6" t="e">
        <f>VLOOKUP(H4,PortConfigOptions!$B$1:$R$89,12,FALSE)</f>
        <v>#N/A</v>
      </c>
      <c r="AK4" s="6" t="e">
        <f>VLOOKUP(H4,PortConfigOptions!$B$1:$R$89,13,FALSE)</f>
        <v>#N/A</v>
      </c>
      <c r="AL4" s="6" t="e">
        <f>VLOOKUP(H4,PortConfigOptions!$B$1:$R$89,14,FALSE)</f>
        <v>#N/A</v>
      </c>
      <c r="AM4" s="6" t="e">
        <f>VLOOKUP(H4,PortConfigOptions!$B$1:$R$89,15,FALSE)</f>
        <v>#N/A</v>
      </c>
      <c r="AN4" s="6" t="e">
        <f>VLOOKUP(H4,PortConfigOptions!$B$1:$R$89,16,FALSE)</f>
        <v>#N/A</v>
      </c>
      <c r="AO4" s="6" t="e">
        <f>VLOOKUP(H4,PortConfigOptions!$B$1:$R$89,17,FALSE)</f>
        <v>#N/A</v>
      </c>
      <c r="AQ4" s="7" t="s">
        <v>258</v>
      </c>
      <c r="AS4" s="7" t="s">
        <v>58</v>
      </c>
      <c r="AT4" s="7" t="s">
        <v>267</v>
      </c>
      <c r="AU4" s="6" t="s">
        <v>269</v>
      </c>
      <c r="AV4" s="6" t="s">
        <v>57</v>
      </c>
    </row>
    <row r="5" spans="1:48" ht="15.6" x14ac:dyDescent="0.3">
      <c r="A5" s="6">
        <v>38</v>
      </c>
      <c r="B5" s="7">
        <v>37</v>
      </c>
      <c r="D5" s="7" t="s">
        <v>62</v>
      </c>
      <c r="E5" s="7" t="s">
        <v>62</v>
      </c>
      <c r="F5" s="7" t="s">
        <v>257</v>
      </c>
      <c r="G5" s="7" t="s">
        <v>62</v>
      </c>
      <c r="H5" s="6" t="s">
        <v>62</v>
      </c>
      <c r="I5" s="6" t="e">
        <v>#N/A</v>
      </c>
      <c r="J5" s="6" t="e">
        <v>#N/A</v>
      </c>
      <c r="K5" s="6" t="e">
        <v>#N/A</v>
      </c>
      <c r="L5" s="6" t="e">
        <v>#N/A</v>
      </c>
      <c r="M5" s="7" t="e">
        <v>#N/A</v>
      </c>
      <c r="N5" s="6" t="e">
        <v>#N/A</v>
      </c>
      <c r="O5" s="6" t="e">
        <v>#N/A</v>
      </c>
      <c r="P5" s="7" t="e">
        <v>#N/A</v>
      </c>
      <c r="Q5" s="7" t="e">
        <v>#N/A</v>
      </c>
      <c r="R5" s="7" t="e">
        <v>#N/A</v>
      </c>
      <c r="S5" s="7" t="e">
        <v>#N/A</v>
      </c>
      <c r="T5" s="7" t="e">
        <v>#N/A</v>
      </c>
      <c r="U5" s="7" t="e">
        <v>#N/A</v>
      </c>
      <c r="V5" s="6" t="e">
        <v>#N/A</v>
      </c>
      <c r="W5" s="6" t="e">
        <v>#N/A</v>
      </c>
      <c r="X5" s="7" t="e">
        <v>#N/A</v>
      </c>
      <c r="Z5" s="6" t="e">
        <f>VLOOKUP(H5,PortConfigOptions!$B$1:$R$89,2,FALSE)</f>
        <v>#N/A</v>
      </c>
      <c r="AA5" s="6" t="e">
        <f>VLOOKUP(H5,PortConfigOptions!$B$1:$R$89,3,FALSE)</f>
        <v>#N/A</v>
      </c>
      <c r="AB5" s="6" t="e">
        <f>VLOOKUP(H5,PortConfigOptions!$B$1:$R$89,4,FALSE)</f>
        <v>#N/A</v>
      </c>
      <c r="AC5" s="6" t="e">
        <f>VLOOKUP(H5,PortConfigOptions!$B$1:$R$89,5,FALSE)</f>
        <v>#N/A</v>
      </c>
      <c r="AD5" s="6" t="e">
        <f>VLOOKUP(H5,PortConfigOptions!$B$1:$R$89,6,FALSE)</f>
        <v>#N/A</v>
      </c>
      <c r="AE5" s="6" t="e">
        <f>VLOOKUP(H5,PortConfigOptions!$B$1:$R$89,7,FALSE)</f>
        <v>#N/A</v>
      </c>
      <c r="AF5" s="6" t="e">
        <f>VLOOKUP(H5,PortConfigOptions!$B$1:$R$89,8,FALSE)</f>
        <v>#N/A</v>
      </c>
      <c r="AG5" s="6" t="e">
        <f>VLOOKUP(H5,PortConfigOptions!$B$1:$R$89,9,FALSE)</f>
        <v>#N/A</v>
      </c>
      <c r="AH5" s="6" t="e">
        <f>VLOOKUP(H5,PortConfigOptions!$B$1:$R$89,10,FALSE)</f>
        <v>#N/A</v>
      </c>
      <c r="AI5" s="6" t="e">
        <f>VLOOKUP(H5,PortConfigOptions!$B$1:$R$89,11,FALSE)</f>
        <v>#N/A</v>
      </c>
      <c r="AJ5" s="6" t="e">
        <f>VLOOKUP(H5,PortConfigOptions!$B$1:$R$89,12,FALSE)</f>
        <v>#N/A</v>
      </c>
      <c r="AK5" s="6" t="e">
        <f>VLOOKUP(H5,PortConfigOptions!$B$1:$R$89,13,FALSE)</f>
        <v>#N/A</v>
      </c>
      <c r="AL5" s="6" t="e">
        <f>VLOOKUP(H5,PortConfigOptions!$B$1:$R$89,14,FALSE)</f>
        <v>#N/A</v>
      </c>
      <c r="AM5" s="6" t="e">
        <f>VLOOKUP(H5,PortConfigOptions!$B$1:$R$89,15,FALSE)</f>
        <v>#N/A</v>
      </c>
      <c r="AN5" s="6" t="e">
        <f>VLOOKUP(H5,PortConfigOptions!$B$1:$R$89,16,FALSE)</f>
        <v>#N/A</v>
      </c>
      <c r="AO5" s="6" t="e">
        <f>VLOOKUP(H5,PortConfigOptions!$B$1:$R$89,17,FALSE)</f>
        <v>#N/A</v>
      </c>
      <c r="AQ5" s="7" t="s">
        <v>258</v>
      </c>
      <c r="AS5" s="7" t="s">
        <v>58</v>
      </c>
      <c r="AT5" s="7" t="s">
        <v>267</v>
      </c>
      <c r="AU5" s="6" t="s">
        <v>269</v>
      </c>
      <c r="AV5" s="6" t="s">
        <v>62</v>
      </c>
    </row>
    <row r="6" spans="1:48" ht="15.6" x14ac:dyDescent="0.3">
      <c r="A6" s="6">
        <v>36</v>
      </c>
      <c r="B6" s="7">
        <v>38</v>
      </c>
      <c r="D6" s="7" t="s">
        <v>60</v>
      </c>
      <c r="E6" s="7" t="s">
        <v>60</v>
      </c>
      <c r="F6" s="7" t="s">
        <v>257</v>
      </c>
      <c r="G6" s="7" t="s">
        <v>60</v>
      </c>
      <c r="H6" s="6" t="s">
        <v>60</v>
      </c>
      <c r="I6" s="6" t="e">
        <v>#N/A</v>
      </c>
      <c r="J6" s="6" t="e">
        <v>#N/A</v>
      </c>
      <c r="K6" s="6" t="e">
        <v>#N/A</v>
      </c>
      <c r="L6" s="6" t="e">
        <v>#N/A</v>
      </c>
      <c r="M6" s="7" t="e">
        <v>#N/A</v>
      </c>
      <c r="N6" s="6" t="e">
        <v>#N/A</v>
      </c>
      <c r="O6" s="6" t="e">
        <v>#N/A</v>
      </c>
      <c r="P6" s="7" t="e">
        <v>#N/A</v>
      </c>
      <c r="Q6" s="7" t="e">
        <v>#N/A</v>
      </c>
      <c r="R6" s="7" t="e">
        <v>#N/A</v>
      </c>
      <c r="S6" s="7" t="e">
        <v>#N/A</v>
      </c>
      <c r="T6" s="7" t="e">
        <v>#N/A</v>
      </c>
      <c r="U6" s="7" t="e">
        <v>#N/A</v>
      </c>
      <c r="V6" s="6" t="e">
        <v>#N/A</v>
      </c>
      <c r="W6" s="6" t="e">
        <v>#N/A</v>
      </c>
      <c r="X6" s="7" t="e">
        <v>#N/A</v>
      </c>
      <c r="Z6" s="6" t="e">
        <f>VLOOKUP(H6,PortConfigOptions!$B$1:$R$89,2,FALSE)</f>
        <v>#N/A</v>
      </c>
      <c r="AA6" s="6" t="e">
        <f>VLOOKUP(H6,PortConfigOptions!$B$1:$R$89,3,FALSE)</f>
        <v>#N/A</v>
      </c>
      <c r="AB6" s="6" t="e">
        <f>VLOOKUP(H6,PortConfigOptions!$B$1:$R$89,4,FALSE)</f>
        <v>#N/A</v>
      </c>
      <c r="AC6" s="6" t="e">
        <f>VLOOKUP(H6,PortConfigOptions!$B$1:$R$89,5,FALSE)</f>
        <v>#N/A</v>
      </c>
      <c r="AD6" s="6" t="e">
        <f>VLOOKUP(H6,PortConfigOptions!$B$1:$R$89,6,FALSE)</f>
        <v>#N/A</v>
      </c>
      <c r="AE6" s="6" t="e">
        <f>VLOOKUP(H6,PortConfigOptions!$B$1:$R$89,7,FALSE)</f>
        <v>#N/A</v>
      </c>
      <c r="AF6" s="6" t="e">
        <f>VLOOKUP(H6,PortConfigOptions!$B$1:$R$89,8,FALSE)</f>
        <v>#N/A</v>
      </c>
      <c r="AG6" s="6" t="e">
        <f>VLOOKUP(H6,PortConfigOptions!$B$1:$R$89,9,FALSE)</f>
        <v>#N/A</v>
      </c>
      <c r="AH6" s="6" t="e">
        <f>VLOOKUP(H6,PortConfigOptions!$B$1:$R$89,10,FALSE)</f>
        <v>#N/A</v>
      </c>
      <c r="AI6" s="6" t="e">
        <f>VLOOKUP(H6,PortConfigOptions!$B$1:$R$89,11,FALSE)</f>
        <v>#N/A</v>
      </c>
      <c r="AJ6" s="6" t="e">
        <f>VLOOKUP(H6,PortConfigOptions!$B$1:$R$89,12,FALSE)</f>
        <v>#N/A</v>
      </c>
      <c r="AK6" s="6" t="e">
        <f>VLOOKUP(H6,PortConfigOptions!$B$1:$R$89,13,FALSE)</f>
        <v>#N/A</v>
      </c>
      <c r="AL6" s="6" t="e">
        <f>VLOOKUP(H6,PortConfigOptions!$B$1:$R$89,14,FALSE)</f>
        <v>#N/A</v>
      </c>
      <c r="AM6" s="6" t="e">
        <f>VLOOKUP(H6,PortConfigOptions!$B$1:$R$89,15,FALSE)</f>
        <v>#N/A</v>
      </c>
      <c r="AN6" s="6" t="e">
        <f>VLOOKUP(H6,PortConfigOptions!$B$1:$R$89,16,FALSE)</f>
        <v>#N/A</v>
      </c>
      <c r="AO6" s="6" t="e">
        <f>VLOOKUP(H6,PortConfigOptions!$B$1:$R$89,17,FALSE)</f>
        <v>#N/A</v>
      </c>
      <c r="AQ6" s="7" t="s">
        <v>258</v>
      </c>
      <c r="AS6" s="7" t="s">
        <v>58</v>
      </c>
      <c r="AT6" s="7" t="s">
        <v>267</v>
      </c>
      <c r="AU6" s="6" t="s">
        <v>269</v>
      </c>
      <c r="AV6" s="6" t="s">
        <v>60</v>
      </c>
    </row>
    <row r="7" spans="1:48" ht="15.6" x14ac:dyDescent="0.3">
      <c r="A7" s="6">
        <v>35</v>
      </c>
      <c r="B7" s="7">
        <v>34</v>
      </c>
      <c r="D7" s="7" t="s">
        <v>59</v>
      </c>
      <c r="E7" s="7" t="s">
        <v>59</v>
      </c>
      <c r="F7" s="7" t="s">
        <v>256</v>
      </c>
      <c r="G7" s="7" t="s">
        <v>59</v>
      </c>
      <c r="H7" s="6" t="s">
        <v>59</v>
      </c>
      <c r="I7" s="6" t="e">
        <v>#N/A</v>
      </c>
      <c r="J7" s="6" t="e">
        <v>#N/A</v>
      </c>
      <c r="K7" s="6" t="e">
        <v>#N/A</v>
      </c>
      <c r="L7" s="6" t="e">
        <v>#N/A</v>
      </c>
      <c r="M7" s="7" t="e">
        <v>#N/A</v>
      </c>
      <c r="N7" s="6" t="e">
        <v>#N/A</v>
      </c>
      <c r="O7" s="6" t="e">
        <v>#N/A</v>
      </c>
      <c r="P7" s="7" t="e">
        <v>#N/A</v>
      </c>
      <c r="Q7" s="7" t="e">
        <v>#N/A</v>
      </c>
      <c r="R7" s="7" t="e">
        <v>#N/A</v>
      </c>
      <c r="S7" s="7" t="e">
        <v>#N/A</v>
      </c>
      <c r="T7" s="7" t="e">
        <v>#N/A</v>
      </c>
      <c r="U7" s="7" t="e">
        <v>#N/A</v>
      </c>
      <c r="V7" s="6" t="e">
        <v>#N/A</v>
      </c>
      <c r="W7" s="6" t="e">
        <v>#N/A</v>
      </c>
      <c r="X7" s="7" t="e">
        <v>#N/A</v>
      </c>
      <c r="Z7" s="6" t="e">
        <f>VLOOKUP(H7,PortConfigOptions!$B$1:$R$89,2,FALSE)</f>
        <v>#N/A</v>
      </c>
      <c r="AA7" s="6" t="e">
        <f>VLOOKUP(H7,PortConfigOptions!$B$1:$R$89,3,FALSE)</f>
        <v>#N/A</v>
      </c>
      <c r="AB7" s="6" t="e">
        <f>VLOOKUP(H7,PortConfigOptions!$B$1:$R$89,4,FALSE)</f>
        <v>#N/A</v>
      </c>
      <c r="AC7" s="6" t="e">
        <f>VLOOKUP(H7,PortConfigOptions!$B$1:$R$89,5,FALSE)</f>
        <v>#N/A</v>
      </c>
      <c r="AD7" s="6" t="e">
        <f>VLOOKUP(H7,PortConfigOptions!$B$1:$R$89,6,FALSE)</f>
        <v>#N/A</v>
      </c>
      <c r="AE7" s="6" t="e">
        <f>VLOOKUP(H7,PortConfigOptions!$B$1:$R$89,7,FALSE)</f>
        <v>#N/A</v>
      </c>
      <c r="AF7" s="6" t="e">
        <f>VLOOKUP(H7,PortConfigOptions!$B$1:$R$89,8,FALSE)</f>
        <v>#N/A</v>
      </c>
      <c r="AG7" s="6" t="e">
        <f>VLOOKUP(H7,PortConfigOptions!$B$1:$R$89,9,FALSE)</f>
        <v>#N/A</v>
      </c>
      <c r="AH7" s="6" t="e">
        <f>VLOOKUP(H7,PortConfigOptions!$B$1:$R$89,10,FALSE)</f>
        <v>#N/A</v>
      </c>
      <c r="AI7" s="6" t="e">
        <f>VLOOKUP(H7,PortConfigOptions!$B$1:$R$89,11,FALSE)</f>
        <v>#N/A</v>
      </c>
      <c r="AJ7" s="6" t="e">
        <f>VLOOKUP(H7,PortConfigOptions!$B$1:$R$89,12,FALSE)</f>
        <v>#N/A</v>
      </c>
      <c r="AK7" s="6" t="e">
        <f>VLOOKUP(H7,PortConfigOptions!$B$1:$R$89,13,FALSE)</f>
        <v>#N/A</v>
      </c>
      <c r="AL7" s="6" t="e">
        <f>VLOOKUP(H7,PortConfigOptions!$B$1:$R$89,14,FALSE)</f>
        <v>#N/A</v>
      </c>
      <c r="AM7" s="6" t="e">
        <f>VLOOKUP(H7,PortConfigOptions!$B$1:$R$89,15,FALSE)</f>
        <v>#N/A</v>
      </c>
      <c r="AN7" s="6" t="e">
        <f>VLOOKUP(H7,PortConfigOptions!$B$1:$R$89,16,FALSE)</f>
        <v>#N/A</v>
      </c>
      <c r="AO7" s="6" t="e">
        <f>VLOOKUP(H7,PortConfigOptions!$B$1:$R$89,17,FALSE)</f>
        <v>#N/A</v>
      </c>
      <c r="AQ7" s="7" t="s">
        <v>258</v>
      </c>
      <c r="AS7" s="7" t="s">
        <v>58</v>
      </c>
      <c r="AT7" s="7" t="s">
        <v>267</v>
      </c>
      <c r="AU7" s="6" t="s">
        <v>269</v>
      </c>
      <c r="AV7" s="6" t="s">
        <v>59</v>
      </c>
    </row>
    <row r="8" spans="1:48" ht="15.6" x14ac:dyDescent="0.3">
      <c r="A8" s="6">
        <v>39</v>
      </c>
      <c r="B8" s="7">
        <v>35</v>
      </c>
      <c r="D8" s="7" t="s">
        <v>63</v>
      </c>
      <c r="E8" s="7" t="s">
        <v>63</v>
      </c>
      <c r="F8" s="7" t="s">
        <v>256</v>
      </c>
      <c r="G8" s="7" t="s">
        <v>63</v>
      </c>
      <c r="H8" s="6" t="s">
        <v>63</v>
      </c>
      <c r="I8" s="6" t="e">
        <v>#N/A</v>
      </c>
      <c r="J8" s="6" t="e">
        <v>#N/A</v>
      </c>
      <c r="K8" s="6" t="e">
        <v>#N/A</v>
      </c>
      <c r="L8" s="6" t="e">
        <v>#N/A</v>
      </c>
      <c r="M8" s="7" t="e">
        <v>#N/A</v>
      </c>
      <c r="N8" s="6" t="e">
        <v>#N/A</v>
      </c>
      <c r="O8" s="6" t="e">
        <v>#N/A</v>
      </c>
      <c r="P8" s="7" t="e">
        <v>#N/A</v>
      </c>
      <c r="Q8" s="7" t="e">
        <v>#N/A</v>
      </c>
      <c r="R8" s="7" t="e">
        <v>#N/A</v>
      </c>
      <c r="S8" s="7" t="e">
        <v>#N/A</v>
      </c>
      <c r="T8" s="7" t="e">
        <v>#N/A</v>
      </c>
      <c r="U8" s="7" t="e">
        <v>#N/A</v>
      </c>
      <c r="V8" s="6" t="e">
        <v>#N/A</v>
      </c>
      <c r="W8" s="6" t="e">
        <v>#N/A</v>
      </c>
      <c r="X8" s="7" t="e">
        <v>#N/A</v>
      </c>
      <c r="Z8" s="6" t="e">
        <f>VLOOKUP(H8,PortConfigOptions!$B$1:$R$89,2,FALSE)</f>
        <v>#N/A</v>
      </c>
      <c r="AA8" s="6" t="e">
        <f>VLOOKUP(H8,PortConfigOptions!$B$1:$R$89,3,FALSE)</f>
        <v>#N/A</v>
      </c>
      <c r="AB8" s="6" t="e">
        <f>VLOOKUP(H8,PortConfigOptions!$B$1:$R$89,4,FALSE)</f>
        <v>#N/A</v>
      </c>
      <c r="AC8" s="6" t="e">
        <f>VLOOKUP(H8,PortConfigOptions!$B$1:$R$89,5,FALSE)</f>
        <v>#N/A</v>
      </c>
      <c r="AD8" s="6" t="e">
        <f>VLOOKUP(H8,PortConfigOptions!$B$1:$R$89,6,FALSE)</f>
        <v>#N/A</v>
      </c>
      <c r="AE8" s="6" t="e">
        <f>VLOOKUP(H8,PortConfigOptions!$B$1:$R$89,7,FALSE)</f>
        <v>#N/A</v>
      </c>
      <c r="AF8" s="6" t="e">
        <f>VLOOKUP(H8,PortConfigOptions!$B$1:$R$89,8,FALSE)</f>
        <v>#N/A</v>
      </c>
      <c r="AG8" s="6" t="e">
        <f>VLOOKUP(H8,PortConfigOptions!$B$1:$R$89,9,FALSE)</f>
        <v>#N/A</v>
      </c>
      <c r="AH8" s="6" t="e">
        <f>VLOOKUP(H8,PortConfigOptions!$B$1:$R$89,10,FALSE)</f>
        <v>#N/A</v>
      </c>
      <c r="AI8" s="6" t="e">
        <f>VLOOKUP(H8,PortConfigOptions!$B$1:$R$89,11,FALSE)</f>
        <v>#N/A</v>
      </c>
      <c r="AJ8" s="6" t="e">
        <f>VLOOKUP(H8,PortConfigOptions!$B$1:$R$89,12,FALSE)</f>
        <v>#N/A</v>
      </c>
      <c r="AK8" s="6" t="e">
        <f>VLOOKUP(H8,PortConfigOptions!$B$1:$R$89,13,FALSE)</f>
        <v>#N/A</v>
      </c>
      <c r="AL8" s="6" t="e">
        <f>VLOOKUP(H8,PortConfigOptions!$B$1:$R$89,14,FALSE)</f>
        <v>#N/A</v>
      </c>
      <c r="AM8" s="6" t="e">
        <f>VLOOKUP(H8,PortConfigOptions!$B$1:$R$89,15,FALSE)</f>
        <v>#N/A</v>
      </c>
      <c r="AN8" s="6" t="e">
        <f>VLOOKUP(H8,PortConfigOptions!$B$1:$R$89,16,FALSE)</f>
        <v>#N/A</v>
      </c>
      <c r="AO8" s="6" t="e">
        <f>VLOOKUP(H8,PortConfigOptions!$B$1:$R$89,17,FALSE)</f>
        <v>#N/A</v>
      </c>
      <c r="AQ8" s="7" t="s">
        <v>258</v>
      </c>
      <c r="AS8" s="7" t="s">
        <v>58</v>
      </c>
      <c r="AT8" s="7" t="s">
        <v>267</v>
      </c>
      <c r="AU8" s="6" t="s">
        <v>269</v>
      </c>
      <c r="AV8" s="6" t="s">
        <v>63</v>
      </c>
    </row>
    <row r="9" spans="1:48" ht="15.6" x14ac:dyDescent="0.3">
      <c r="A9" s="6">
        <v>37</v>
      </c>
      <c r="B9" s="7">
        <v>36</v>
      </c>
      <c r="D9" s="7" t="s">
        <v>61</v>
      </c>
      <c r="E9" s="7" t="s">
        <v>61</v>
      </c>
      <c r="F9" s="7" t="s">
        <v>256</v>
      </c>
      <c r="G9" s="7" t="s">
        <v>61</v>
      </c>
      <c r="H9" s="6" t="s">
        <v>61</v>
      </c>
      <c r="I9" s="6" t="e">
        <v>#N/A</v>
      </c>
      <c r="J9" s="6" t="e">
        <v>#N/A</v>
      </c>
      <c r="K9" s="6" t="e">
        <v>#N/A</v>
      </c>
      <c r="L9" s="6" t="e">
        <v>#N/A</v>
      </c>
      <c r="M9" s="7" t="e">
        <v>#N/A</v>
      </c>
      <c r="N9" s="6" t="e">
        <v>#N/A</v>
      </c>
      <c r="O9" s="6" t="e">
        <v>#N/A</v>
      </c>
      <c r="P9" s="7" t="e">
        <v>#N/A</v>
      </c>
      <c r="Q9" s="7" t="e">
        <v>#N/A</v>
      </c>
      <c r="R9" s="7" t="e">
        <v>#N/A</v>
      </c>
      <c r="S9" s="7" t="e">
        <v>#N/A</v>
      </c>
      <c r="T9" s="7" t="e">
        <v>#N/A</v>
      </c>
      <c r="U9" s="7" t="e">
        <v>#N/A</v>
      </c>
      <c r="V9" s="6" t="e">
        <v>#N/A</v>
      </c>
      <c r="W9" s="6" t="e">
        <v>#N/A</v>
      </c>
      <c r="X9" s="7" t="e">
        <v>#N/A</v>
      </c>
      <c r="Z9" s="6" t="e">
        <f>VLOOKUP(H9,PortConfigOptions!$B$1:$R$89,2,FALSE)</f>
        <v>#N/A</v>
      </c>
      <c r="AA9" s="6" t="e">
        <f>VLOOKUP(H9,PortConfigOptions!$B$1:$R$89,3,FALSE)</f>
        <v>#N/A</v>
      </c>
      <c r="AB9" s="6" t="e">
        <f>VLOOKUP(H9,PortConfigOptions!$B$1:$R$89,4,FALSE)</f>
        <v>#N/A</v>
      </c>
      <c r="AC9" s="6" t="e">
        <f>VLOOKUP(H9,PortConfigOptions!$B$1:$R$89,5,FALSE)</f>
        <v>#N/A</v>
      </c>
      <c r="AD9" s="6" t="e">
        <f>VLOOKUP(H9,PortConfigOptions!$B$1:$R$89,6,FALSE)</f>
        <v>#N/A</v>
      </c>
      <c r="AE9" s="6" t="e">
        <f>VLOOKUP(H9,PortConfigOptions!$B$1:$R$89,7,FALSE)</f>
        <v>#N/A</v>
      </c>
      <c r="AF9" s="6" t="e">
        <f>VLOOKUP(H9,PortConfigOptions!$B$1:$R$89,8,FALSE)</f>
        <v>#N/A</v>
      </c>
      <c r="AG9" s="6" t="e">
        <f>VLOOKUP(H9,PortConfigOptions!$B$1:$R$89,9,FALSE)</f>
        <v>#N/A</v>
      </c>
      <c r="AH9" s="6" t="e">
        <f>VLOOKUP(H9,PortConfigOptions!$B$1:$R$89,10,FALSE)</f>
        <v>#N/A</v>
      </c>
      <c r="AI9" s="6" t="e">
        <f>VLOOKUP(H9,PortConfigOptions!$B$1:$R$89,11,FALSE)</f>
        <v>#N/A</v>
      </c>
      <c r="AJ9" s="6" t="e">
        <f>VLOOKUP(H9,PortConfigOptions!$B$1:$R$89,12,FALSE)</f>
        <v>#N/A</v>
      </c>
      <c r="AK9" s="6" t="e">
        <f>VLOOKUP(H9,PortConfigOptions!$B$1:$R$89,13,FALSE)</f>
        <v>#N/A</v>
      </c>
      <c r="AL9" s="6" t="e">
        <f>VLOOKUP(H9,PortConfigOptions!$B$1:$R$89,14,FALSE)</f>
        <v>#N/A</v>
      </c>
      <c r="AM9" s="6" t="e">
        <f>VLOOKUP(H9,PortConfigOptions!$B$1:$R$89,15,FALSE)</f>
        <v>#N/A</v>
      </c>
      <c r="AN9" s="6" t="e">
        <f>VLOOKUP(H9,PortConfigOptions!$B$1:$R$89,16,FALSE)</f>
        <v>#N/A</v>
      </c>
      <c r="AO9" s="6" t="e">
        <f>VLOOKUP(H9,PortConfigOptions!$B$1:$R$89,17,FALSE)</f>
        <v>#N/A</v>
      </c>
      <c r="AQ9" s="7" t="s">
        <v>258</v>
      </c>
      <c r="AS9" s="7" t="s">
        <v>58</v>
      </c>
      <c r="AT9" s="7" t="s">
        <v>267</v>
      </c>
      <c r="AU9" s="6" t="s">
        <v>269</v>
      </c>
      <c r="AV9" s="6" t="s">
        <v>61</v>
      </c>
    </row>
    <row r="10" spans="1:48" ht="15.6" x14ac:dyDescent="0.3">
      <c r="A10" s="6">
        <v>22</v>
      </c>
      <c r="B10" s="7">
        <v>40</v>
      </c>
      <c r="C10" s="7" t="s">
        <v>384</v>
      </c>
      <c r="D10" s="7" t="s">
        <v>20</v>
      </c>
      <c r="E10" s="7" t="s">
        <v>355</v>
      </c>
      <c r="F10" s="7" t="s">
        <v>257</v>
      </c>
      <c r="G10" s="7" t="s">
        <v>37</v>
      </c>
      <c r="H10" s="6" t="s">
        <v>37</v>
      </c>
      <c r="I10" s="6" t="e">
        <v>#N/A</v>
      </c>
      <c r="J10" s="6" t="e">
        <v>#N/A</v>
      </c>
      <c r="K10" s="6" t="e">
        <v>#N/A</v>
      </c>
      <c r="L10" s="6" t="e">
        <v>#N/A</v>
      </c>
      <c r="M10" s="7" t="e">
        <v>#N/A</v>
      </c>
      <c r="N10" s="6" t="e">
        <v>#N/A</v>
      </c>
      <c r="O10" s="6" t="e">
        <v>#N/A</v>
      </c>
      <c r="P10" s="7" t="e">
        <v>#N/A</v>
      </c>
      <c r="Q10" s="7" t="e">
        <v>#N/A</v>
      </c>
      <c r="R10" s="7" t="e">
        <v>#N/A</v>
      </c>
      <c r="S10" s="7" t="e">
        <v>#N/A</v>
      </c>
      <c r="T10" s="7" t="e">
        <v>#N/A</v>
      </c>
      <c r="U10" s="7" t="e">
        <v>#N/A</v>
      </c>
      <c r="V10" s="6" t="e">
        <v>#N/A</v>
      </c>
      <c r="W10" s="6" t="e">
        <v>#N/A</v>
      </c>
      <c r="X10" s="7" t="e">
        <v>#N/A</v>
      </c>
      <c r="Z10" s="6" t="e">
        <f>VLOOKUP(H10,PortConfigOptions!$B$1:$R$89,2,FALSE)</f>
        <v>#N/A</v>
      </c>
      <c r="AA10" s="6" t="e">
        <f>VLOOKUP(H10,PortConfigOptions!$B$1:$R$89,3,FALSE)</f>
        <v>#N/A</v>
      </c>
      <c r="AB10" s="6" t="e">
        <f>VLOOKUP(H10,PortConfigOptions!$B$1:$R$89,4,FALSE)</f>
        <v>#N/A</v>
      </c>
      <c r="AC10" s="6" t="e">
        <f>VLOOKUP(H10,PortConfigOptions!$B$1:$R$89,5,FALSE)</f>
        <v>#N/A</v>
      </c>
      <c r="AD10" s="6" t="e">
        <f>VLOOKUP(H10,PortConfigOptions!$B$1:$R$89,6,FALSE)</f>
        <v>#N/A</v>
      </c>
      <c r="AE10" s="6" t="e">
        <f>VLOOKUP(H10,PortConfigOptions!$B$1:$R$89,7,FALSE)</f>
        <v>#N/A</v>
      </c>
      <c r="AF10" s="6" t="e">
        <f>VLOOKUP(H10,PortConfigOptions!$B$1:$R$89,8,FALSE)</f>
        <v>#N/A</v>
      </c>
      <c r="AG10" s="6" t="e">
        <f>VLOOKUP(H10,PortConfigOptions!$B$1:$R$89,9,FALSE)</f>
        <v>#N/A</v>
      </c>
      <c r="AH10" s="6" t="e">
        <f>VLOOKUP(H10,PortConfigOptions!$B$1:$R$89,10,FALSE)</f>
        <v>#N/A</v>
      </c>
      <c r="AI10" s="6" t="e">
        <f>VLOOKUP(H10,PortConfigOptions!$B$1:$R$89,11,FALSE)</f>
        <v>#N/A</v>
      </c>
      <c r="AJ10" s="6" t="e">
        <f>VLOOKUP(H10,PortConfigOptions!$B$1:$R$89,12,FALSE)</f>
        <v>#N/A</v>
      </c>
      <c r="AK10" s="6" t="e">
        <f>VLOOKUP(H10,PortConfigOptions!$B$1:$R$89,13,FALSE)</f>
        <v>#N/A</v>
      </c>
      <c r="AL10" s="6" t="e">
        <f>VLOOKUP(H10,PortConfigOptions!$B$1:$R$89,14,FALSE)</f>
        <v>#N/A</v>
      </c>
      <c r="AM10" s="6" t="e">
        <f>VLOOKUP(H10,PortConfigOptions!$B$1:$R$89,15,FALSE)</f>
        <v>#N/A</v>
      </c>
      <c r="AN10" s="6" t="e">
        <f>VLOOKUP(H10,PortConfigOptions!$B$1:$R$89,16,FALSE)</f>
        <v>#N/A</v>
      </c>
      <c r="AO10" s="6" t="e">
        <f>VLOOKUP(H10,PortConfigOptions!$B$1:$R$89,17,FALSE)</f>
        <v>#N/A</v>
      </c>
      <c r="AQ10" s="7" t="s">
        <v>258</v>
      </c>
      <c r="AS10" s="7" t="s">
        <v>270</v>
      </c>
      <c r="AT10" s="7" t="s">
        <v>267</v>
      </c>
      <c r="AU10" s="6" t="s">
        <v>268</v>
      </c>
      <c r="AV10" s="6" t="s">
        <v>37</v>
      </c>
    </row>
    <row r="11" spans="1:48" ht="15.6" x14ac:dyDescent="0.3">
      <c r="A11" s="6">
        <v>23</v>
      </c>
      <c r="B11" s="7">
        <v>41</v>
      </c>
      <c r="C11" s="7" t="s">
        <v>384</v>
      </c>
      <c r="D11" s="7" t="s">
        <v>38</v>
      </c>
      <c r="E11" s="7" t="s">
        <v>350</v>
      </c>
      <c r="F11" s="7" t="s">
        <v>257</v>
      </c>
      <c r="G11" s="7" t="s">
        <v>39</v>
      </c>
      <c r="H11" s="6" t="s">
        <v>39</v>
      </c>
      <c r="I11" s="6" t="e">
        <v>#N/A</v>
      </c>
      <c r="J11" s="6" t="e">
        <v>#N/A</v>
      </c>
      <c r="K11" s="6" t="e">
        <v>#N/A</v>
      </c>
      <c r="L11" s="6" t="e">
        <v>#N/A</v>
      </c>
      <c r="M11" s="7" t="e">
        <v>#N/A</v>
      </c>
      <c r="N11" s="6" t="e">
        <v>#N/A</v>
      </c>
      <c r="O11" s="6" t="e">
        <v>#N/A</v>
      </c>
      <c r="P11" s="7" t="e">
        <v>#N/A</v>
      </c>
      <c r="Q11" s="7" t="e">
        <v>#N/A</v>
      </c>
      <c r="R11" s="7" t="e">
        <v>#N/A</v>
      </c>
      <c r="S11" s="7" t="e">
        <v>#N/A</v>
      </c>
      <c r="T11" s="7" t="e">
        <v>#N/A</v>
      </c>
      <c r="U11" s="7" t="e">
        <v>#N/A</v>
      </c>
      <c r="V11" s="6" t="e">
        <v>#N/A</v>
      </c>
      <c r="W11" s="6" t="e">
        <v>#N/A</v>
      </c>
      <c r="X11" s="7" t="e">
        <v>#N/A</v>
      </c>
      <c r="Z11" s="6" t="e">
        <f>VLOOKUP(H11,PortConfigOptions!$B$1:$R$89,2,FALSE)</f>
        <v>#N/A</v>
      </c>
      <c r="AA11" s="6" t="e">
        <f>VLOOKUP(H11,PortConfigOptions!$B$1:$R$89,3,FALSE)</f>
        <v>#N/A</v>
      </c>
      <c r="AB11" s="6" t="e">
        <f>VLOOKUP(H11,PortConfigOptions!$B$1:$R$89,4,FALSE)</f>
        <v>#N/A</v>
      </c>
      <c r="AC11" s="6" t="e">
        <f>VLOOKUP(H11,PortConfigOptions!$B$1:$R$89,5,FALSE)</f>
        <v>#N/A</v>
      </c>
      <c r="AD11" s="6" t="e">
        <f>VLOOKUP(H11,PortConfigOptions!$B$1:$R$89,6,FALSE)</f>
        <v>#N/A</v>
      </c>
      <c r="AE11" s="6" t="e">
        <f>VLOOKUP(H11,PortConfigOptions!$B$1:$R$89,7,FALSE)</f>
        <v>#N/A</v>
      </c>
      <c r="AF11" s="6" t="e">
        <f>VLOOKUP(H11,PortConfigOptions!$B$1:$R$89,8,FALSE)</f>
        <v>#N/A</v>
      </c>
      <c r="AG11" s="6" t="e">
        <f>VLOOKUP(H11,PortConfigOptions!$B$1:$R$89,9,FALSE)</f>
        <v>#N/A</v>
      </c>
      <c r="AH11" s="6" t="e">
        <f>VLOOKUP(H11,PortConfigOptions!$B$1:$R$89,10,FALSE)</f>
        <v>#N/A</v>
      </c>
      <c r="AI11" s="6" t="e">
        <f>VLOOKUP(H11,PortConfigOptions!$B$1:$R$89,11,FALSE)</f>
        <v>#N/A</v>
      </c>
      <c r="AJ11" s="6" t="e">
        <f>VLOOKUP(H11,PortConfigOptions!$B$1:$R$89,12,FALSE)</f>
        <v>#N/A</v>
      </c>
      <c r="AK11" s="6" t="e">
        <f>VLOOKUP(H11,PortConfigOptions!$B$1:$R$89,13,FALSE)</f>
        <v>#N/A</v>
      </c>
      <c r="AL11" s="6" t="e">
        <f>VLOOKUP(H11,PortConfigOptions!$B$1:$R$89,14,FALSE)</f>
        <v>#N/A</v>
      </c>
      <c r="AM11" s="6" t="e">
        <f>VLOOKUP(H11,PortConfigOptions!$B$1:$R$89,15,FALSE)</f>
        <v>#N/A</v>
      </c>
      <c r="AN11" s="6" t="e">
        <f>VLOOKUP(H11,PortConfigOptions!$B$1:$R$89,16,FALSE)</f>
        <v>#N/A</v>
      </c>
      <c r="AO11" s="6" t="e">
        <f>VLOOKUP(H11,PortConfigOptions!$B$1:$R$89,17,FALSE)</f>
        <v>#N/A</v>
      </c>
      <c r="AQ11" s="7" t="s">
        <v>258</v>
      </c>
      <c r="AS11" s="7" t="s">
        <v>270</v>
      </c>
      <c r="AT11" s="7" t="s">
        <v>267</v>
      </c>
      <c r="AU11" s="6" t="s">
        <v>268</v>
      </c>
      <c r="AV11" s="6" t="s">
        <v>39</v>
      </c>
    </row>
    <row r="12" spans="1:48" ht="31.15" x14ac:dyDescent="0.3">
      <c r="A12" s="6">
        <v>32</v>
      </c>
      <c r="B12" s="7">
        <v>50</v>
      </c>
      <c r="C12" s="7" t="s">
        <v>384</v>
      </c>
      <c r="D12" s="7" t="s">
        <v>53</v>
      </c>
      <c r="E12" s="17" t="s">
        <v>360</v>
      </c>
      <c r="F12" s="7" t="s">
        <v>257</v>
      </c>
      <c r="G12" s="7" t="s">
        <v>54</v>
      </c>
      <c r="H12" s="6" t="s">
        <v>54</v>
      </c>
      <c r="I12" s="6" t="e">
        <v>#N/A</v>
      </c>
      <c r="J12" s="6" t="e">
        <v>#N/A</v>
      </c>
      <c r="K12" s="6" t="e">
        <v>#N/A</v>
      </c>
      <c r="L12" s="6" t="e">
        <v>#N/A</v>
      </c>
      <c r="M12" s="7" t="e">
        <v>#N/A</v>
      </c>
      <c r="N12" s="6" t="e">
        <v>#N/A</v>
      </c>
      <c r="O12" s="6" t="e">
        <v>#N/A</v>
      </c>
      <c r="P12" s="7" t="e">
        <v>#N/A</v>
      </c>
      <c r="Q12" s="7" t="e">
        <v>#N/A</v>
      </c>
      <c r="R12" s="7" t="e">
        <v>#N/A</v>
      </c>
      <c r="S12" s="7" t="e">
        <v>#N/A</v>
      </c>
      <c r="T12" s="7" t="e">
        <v>#N/A</v>
      </c>
      <c r="U12" s="7" t="e">
        <v>#N/A</v>
      </c>
      <c r="V12" s="6" t="e">
        <v>#N/A</v>
      </c>
      <c r="W12" s="6" t="e">
        <v>#N/A</v>
      </c>
      <c r="X12" s="7" t="e">
        <v>#N/A</v>
      </c>
      <c r="Z12" s="6" t="e">
        <f>VLOOKUP(H12,PortConfigOptions!$B$1:$R$89,2,FALSE)</f>
        <v>#N/A</v>
      </c>
      <c r="AA12" s="6" t="e">
        <f>VLOOKUP(H12,PortConfigOptions!$B$1:$R$89,3,FALSE)</f>
        <v>#N/A</v>
      </c>
      <c r="AB12" s="6" t="e">
        <f>VLOOKUP(H12,PortConfigOptions!$B$1:$R$89,4,FALSE)</f>
        <v>#N/A</v>
      </c>
      <c r="AC12" s="6" t="e">
        <f>VLOOKUP(H12,PortConfigOptions!$B$1:$R$89,5,FALSE)</f>
        <v>#N/A</v>
      </c>
      <c r="AD12" s="6" t="e">
        <f>VLOOKUP(H12,PortConfigOptions!$B$1:$R$89,6,FALSE)</f>
        <v>#N/A</v>
      </c>
      <c r="AE12" s="6" t="e">
        <f>VLOOKUP(H12,PortConfigOptions!$B$1:$R$89,7,FALSE)</f>
        <v>#N/A</v>
      </c>
      <c r="AF12" s="6" t="e">
        <f>VLOOKUP(H12,PortConfigOptions!$B$1:$R$89,8,FALSE)</f>
        <v>#N/A</v>
      </c>
      <c r="AG12" s="6" t="e">
        <f>VLOOKUP(H12,PortConfigOptions!$B$1:$R$89,9,FALSE)</f>
        <v>#N/A</v>
      </c>
      <c r="AH12" s="6" t="e">
        <f>VLOOKUP(H12,PortConfigOptions!$B$1:$R$89,10,FALSE)</f>
        <v>#N/A</v>
      </c>
      <c r="AI12" s="6" t="e">
        <f>VLOOKUP(H12,PortConfigOptions!$B$1:$R$89,11,FALSE)</f>
        <v>#N/A</v>
      </c>
      <c r="AJ12" s="6" t="e">
        <f>VLOOKUP(H12,PortConfigOptions!$B$1:$R$89,12,FALSE)</f>
        <v>#N/A</v>
      </c>
      <c r="AK12" s="6" t="e">
        <f>VLOOKUP(H12,PortConfigOptions!$B$1:$R$89,13,FALSE)</f>
        <v>#N/A</v>
      </c>
      <c r="AL12" s="6" t="e">
        <f>VLOOKUP(H12,PortConfigOptions!$B$1:$R$89,14,FALSE)</f>
        <v>#N/A</v>
      </c>
      <c r="AM12" s="6" t="e">
        <f>VLOOKUP(H12,PortConfigOptions!$B$1:$R$89,15,FALSE)</f>
        <v>#N/A</v>
      </c>
      <c r="AN12" s="6" t="e">
        <f>VLOOKUP(H12,PortConfigOptions!$B$1:$R$89,16,FALSE)</f>
        <v>#N/A</v>
      </c>
      <c r="AO12" s="6" t="e">
        <f>VLOOKUP(H12,PortConfigOptions!$B$1:$R$89,17,FALSE)</f>
        <v>#N/A</v>
      </c>
      <c r="AQ12" s="7" t="s">
        <v>258</v>
      </c>
      <c r="AR12" s="17"/>
      <c r="AS12" s="7" t="s">
        <v>270</v>
      </c>
      <c r="AT12" s="7" t="s">
        <v>267</v>
      </c>
      <c r="AU12" s="6" t="s">
        <v>268</v>
      </c>
      <c r="AV12" s="6" t="s">
        <v>54</v>
      </c>
    </row>
    <row r="13" spans="1:48" ht="31.15" x14ac:dyDescent="0.3">
      <c r="A13" s="6">
        <v>33</v>
      </c>
      <c r="B13" s="7">
        <v>51</v>
      </c>
      <c r="C13" s="7" t="s">
        <v>384</v>
      </c>
      <c r="D13" s="7" t="s">
        <v>55</v>
      </c>
      <c r="E13" s="17" t="s">
        <v>361</v>
      </c>
      <c r="F13" s="7" t="s">
        <v>257</v>
      </c>
      <c r="G13" s="7" t="s">
        <v>56</v>
      </c>
      <c r="H13" s="6" t="s">
        <v>56</v>
      </c>
      <c r="I13" s="6" t="e">
        <v>#N/A</v>
      </c>
      <c r="J13" s="6" t="e">
        <v>#N/A</v>
      </c>
      <c r="K13" s="6" t="e">
        <v>#N/A</v>
      </c>
      <c r="L13" s="6" t="e">
        <v>#N/A</v>
      </c>
      <c r="M13" s="7" t="e">
        <v>#N/A</v>
      </c>
      <c r="N13" s="6" t="e">
        <v>#N/A</v>
      </c>
      <c r="O13" s="6" t="e">
        <v>#N/A</v>
      </c>
      <c r="P13" s="7" t="e">
        <v>#N/A</v>
      </c>
      <c r="Q13" s="7" t="e">
        <v>#N/A</v>
      </c>
      <c r="R13" s="7" t="e">
        <v>#N/A</v>
      </c>
      <c r="S13" s="7" t="e">
        <v>#N/A</v>
      </c>
      <c r="T13" s="7" t="e">
        <v>#N/A</v>
      </c>
      <c r="U13" s="7" t="e">
        <v>#N/A</v>
      </c>
      <c r="V13" s="6" t="e">
        <v>#N/A</v>
      </c>
      <c r="W13" s="6" t="e">
        <v>#N/A</v>
      </c>
      <c r="X13" s="7" t="e">
        <v>#N/A</v>
      </c>
      <c r="Z13" s="6" t="e">
        <f>VLOOKUP(H13,PortConfigOptions!$B$1:$R$89,2,FALSE)</f>
        <v>#N/A</v>
      </c>
      <c r="AA13" s="6" t="e">
        <f>VLOOKUP(H13,PortConfigOptions!$B$1:$R$89,3,FALSE)</f>
        <v>#N/A</v>
      </c>
      <c r="AB13" s="6" t="e">
        <f>VLOOKUP(H13,PortConfigOptions!$B$1:$R$89,4,FALSE)</f>
        <v>#N/A</v>
      </c>
      <c r="AC13" s="6" t="e">
        <f>VLOOKUP(H13,PortConfigOptions!$B$1:$R$89,5,FALSE)</f>
        <v>#N/A</v>
      </c>
      <c r="AD13" s="6" t="e">
        <f>VLOOKUP(H13,PortConfigOptions!$B$1:$R$89,6,FALSE)</f>
        <v>#N/A</v>
      </c>
      <c r="AE13" s="6" t="e">
        <f>VLOOKUP(H13,PortConfigOptions!$B$1:$R$89,7,FALSE)</f>
        <v>#N/A</v>
      </c>
      <c r="AF13" s="6" t="e">
        <f>VLOOKUP(H13,PortConfigOptions!$B$1:$R$89,8,FALSE)</f>
        <v>#N/A</v>
      </c>
      <c r="AG13" s="6" t="e">
        <f>VLOOKUP(H13,PortConfigOptions!$B$1:$R$89,9,FALSE)</f>
        <v>#N/A</v>
      </c>
      <c r="AH13" s="6" t="e">
        <f>VLOOKUP(H13,PortConfigOptions!$B$1:$R$89,10,FALSE)</f>
        <v>#N/A</v>
      </c>
      <c r="AI13" s="6" t="e">
        <f>VLOOKUP(H13,PortConfigOptions!$B$1:$R$89,11,FALSE)</f>
        <v>#N/A</v>
      </c>
      <c r="AJ13" s="6" t="e">
        <f>VLOOKUP(H13,PortConfigOptions!$B$1:$R$89,12,FALSE)</f>
        <v>#N/A</v>
      </c>
      <c r="AK13" s="6" t="e">
        <f>VLOOKUP(H13,PortConfigOptions!$B$1:$R$89,13,FALSE)</f>
        <v>#N/A</v>
      </c>
      <c r="AL13" s="6" t="e">
        <f>VLOOKUP(H13,PortConfigOptions!$B$1:$R$89,14,FALSE)</f>
        <v>#N/A</v>
      </c>
      <c r="AM13" s="6" t="e">
        <f>VLOOKUP(H13,PortConfigOptions!$B$1:$R$89,15,FALSE)</f>
        <v>#N/A</v>
      </c>
      <c r="AN13" s="6" t="e">
        <f>VLOOKUP(H13,PortConfigOptions!$B$1:$R$89,16,FALSE)</f>
        <v>#N/A</v>
      </c>
      <c r="AO13" s="6" t="e">
        <f>VLOOKUP(H13,PortConfigOptions!$B$1:$R$89,17,FALSE)</f>
        <v>#N/A</v>
      </c>
      <c r="AQ13" s="7" t="s">
        <v>258</v>
      </c>
      <c r="AR13" s="17"/>
      <c r="AS13" s="7" t="s">
        <v>270</v>
      </c>
      <c r="AT13" s="7" t="s">
        <v>267</v>
      </c>
      <c r="AU13" s="6" t="s">
        <v>268</v>
      </c>
      <c r="AV13" s="6" t="s">
        <v>56</v>
      </c>
    </row>
    <row r="14" spans="1:48" ht="31.15" x14ac:dyDescent="0.3">
      <c r="A14" s="6">
        <v>24</v>
      </c>
      <c r="B14" s="7">
        <v>42</v>
      </c>
      <c r="C14" s="7" t="s">
        <v>384</v>
      </c>
      <c r="D14" s="7" t="s">
        <v>40</v>
      </c>
      <c r="E14" s="17" t="s">
        <v>356</v>
      </c>
      <c r="F14" s="7" t="s">
        <v>257</v>
      </c>
      <c r="G14" s="7" t="s">
        <v>41</v>
      </c>
      <c r="H14" s="6" t="s">
        <v>41</v>
      </c>
      <c r="I14" s="6" t="e">
        <v>#N/A</v>
      </c>
      <c r="J14" s="6" t="e">
        <v>#N/A</v>
      </c>
      <c r="K14" s="6" t="e">
        <v>#N/A</v>
      </c>
      <c r="L14" s="6" t="e">
        <v>#N/A</v>
      </c>
      <c r="M14" s="7" t="e">
        <v>#N/A</v>
      </c>
      <c r="N14" s="6" t="e">
        <v>#N/A</v>
      </c>
      <c r="O14" s="6" t="e">
        <v>#N/A</v>
      </c>
      <c r="P14" s="7" t="e">
        <v>#N/A</v>
      </c>
      <c r="Q14" s="7" t="e">
        <v>#N/A</v>
      </c>
      <c r="R14" s="7" t="e">
        <v>#N/A</v>
      </c>
      <c r="S14" s="7" t="e">
        <v>#N/A</v>
      </c>
      <c r="T14" s="7" t="e">
        <v>#N/A</v>
      </c>
      <c r="U14" s="7" t="e">
        <v>#N/A</v>
      </c>
      <c r="V14" s="6" t="e">
        <v>#N/A</v>
      </c>
      <c r="W14" s="6" t="e">
        <v>#N/A</v>
      </c>
      <c r="X14" s="7" t="e">
        <v>#N/A</v>
      </c>
      <c r="Z14" s="6" t="e">
        <f>VLOOKUP(H14,PortConfigOptions!$B$1:$R$89,2,FALSE)</f>
        <v>#N/A</v>
      </c>
      <c r="AA14" s="6" t="e">
        <f>VLOOKUP(H14,PortConfigOptions!$B$1:$R$89,3,FALSE)</f>
        <v>#N/A</v>
      </c>
      <c r="AB14" s="6" t="e">
        <f>VLOOKUP(H14,PortConfigOptions!$B$1:$R$89,4,FALSE)</f>
        <v>#N/A</v>
      </c>
      <c r="AC14" s="6" t="e">
        <f>VLOOKUP(H14,PortConfigOptions!$B$1:$R$89,5,FALSE)</f>
        <v>#N/A</v>
      </c>
      <c r="AD14" s="6" t="e">
        <f>VLOOKUP(H14,PortConfigOptions!$B$1:$R$89,6,FALSE)</f>
        <v>#N/A</v>
      </c>
      <c r="AE14" s="6" t="e">
        <f>VLOOKUP(H14,PortConfigOptions!$B$1:$R$89,7,FALSE)</f>
        <v>#N/A</v>
      </c>
      <c r="AF14" s="6" t="e">
        <f>VLOOKUP(H14,PortConfigOptions!$B$1:$R$89,8,FALSE)</f>
        <v>#N/A</v>
      </c>
      <c r="AG14" s="6" t="e">
        <f>VLOOKUP(H14,PortConfigOptions!$B$1:$R$89,9,FALSE)</f>
        <v>#N/A</v>
      </c>
      <c r="AH14" s="6" t="e">
        <f>VLOOKUP(H14,PortConfigOptions!$B$1:$R$89,10,FALSE)</f>
        <v>#N/A</v>
      </c>
      <c r="AI14" s="6" t="e">
        <f>VLOOKUP(H14,PortConfigOptions!$B$1:$R$89,11,FALSE)</f>
        <v>#N/A</v>
      </c>
      <c r="AJ14" s="6" t="e">
        <f>VLOOKUP(H14,PortConfigOptions!$B$1:$R$89,12,FALSE)</f>
        <v>#N/A</v>
      </c>
      <c r="AK14" s="6" t="e">
        <f>VLOOKUP(H14,PortConfigOptions!$B$1:$R$89,13,FALSE)</f>
        <v>#N/A</v>
      </c>
      <c r="AL14" s="6" t="e">
        <f>VLOOKUP(H14,PortConfigOptions!$B$1:$R$89,14,FALSE)</f>
        <v>#N/A</v>
      </c>
      <c r="AM14" s="6" t="e">
        <f>VLOOKUP(H14,PortConfigOptions!$B$1:$R$89,15,FALSE)</f>
        <v>#N/A</v>
      </c>
      <c r="AN14" s="6" t="e">
        <f>VLOOKUP(H14,PortConfigOptions!$B$1:$R$89,16,FALSE)</f>
        <v>#N/A</v>
      </c>
      <c r="AO14" s="6" t="e">
        <f>VLOOKUP(H14,PortConfigOptions!$B$1:$R$89,17,FALSE)</f>
        <v>#N/A</v>
      </c>
      <c r="AQ14" s="7" t="s">
        <v>258</v>
      </c>
      <c r="AR14" s="17"/>
      <c r="AS14" s="7" t="s">
        <v>270</v>
      </c>
      <c r="AT14" s="7" t="s">
        <v>267</v>
      </c>
      <c r="AU14" s="6" t="s">
        <v>268</v>
      </c>
      <c r="AV14" s="6" t="s">
        <v>41</v>
      </c>
    </row>
    <row r="15" spans="1:48" ht="31.15" x14ac:dyDescent="0.3">
      <c r="A15" s="6">
        <v>25</v>
      </c>
      <c r="B15" s="7">
        <v>43</v>
      </c>
      <c r="C15" s="7" t="s">
        <v>384</v>
      </c>
      <c r="D15" s="7" t="s">
        <v>42</v>
      </c>
      <c r="E15" s="17" t="s">
        <v>357</v>
      </c>
      <c r="F15" s="7" t="s">
        <v>257</v>
      </c>
      <c r="G15" s="7" t="s">
        <v>43</v>
      </c>
      <c r="H15" s="6" t="s">
        <v>43</v>
      </c>
      <c r="I15" s="6" t="e">
        <v>#N/A</v>
      </c>
      <c r="J15" s="6" t="e">
        <v>#N/A</v>
      </c>
      <c r="K15" s="6" t="e">
        <v>#N/A</v>
      </c>
      <c r="L15" s="6" t="e">
        <v>#N/A</v>
      </c>
      <c r="M15" s="7" t="e">
        <v>#N/A</v>
      </c>
      <c r="N15" s="6" t="e">
        <v>#N/A</v>
      </c>
      <c r="O15" s="6" t="e">
        <v>#N/A</v>
      </c>
      <c r="P15" s="7" t="e">
        <v>#N/A</v>
      </c>
      <c r="Q15" s="7" t="e">
        <v>#N/A</v>
      </c>
      <c r="R15" s="7" t="e">
        <v>#N/A</v>
      </c>
      <c r="S15" s="7" t="e">
        <v>#N/A</v>
      </c>
      <c r="T15" s="7" t="e">
        <v>#N/A</v>
      </c>
      <c r="U15" s="7" t="e">
        <v>#N/A</v>
      </c>
      <c r="V15" s="6" t="e">
        <v>#N/A</v>
      </c>
      <c r="W15" s="6" t="e">
        <v>#N/A</v>
      </c>
      <c r="X15" s="7" t="e">
        <v>#N/A</v>
      </c>
      <c r="Z15" s="6" t="e">
        <f>VLOOKUP(H15,PortConfigOptions!$B$1:$R$89,2,FALSE)</f>
        <v>#N/A</v>
      </c>
      <c r="AA15" s="6" t="e">
        <f>VLOOKUP(H15,PortConfigOptions!$B$1:$R$89,3,FALSE)</f>
        <v>#N/A</v>
      </c>
      <c r="AB15" s="6" t="e">
        <f>VLOOKUP(H15,PortConfigOptions!$B$1:$R$89,4,FALSE)</f>
        <v>#N/A</v>
      </c>
      <c r="AC15" s="6" t="e">
        <f>VLOOKUP(H15,PortConfigOptions!$B$1:$R$89,5,FALSE)</f>
        <v>#N/A</v>
      </c>
      <c r="AD15" s="6" t="e">
        <f>VLOOKUP(H15,PortConfigOptions!$B$1:$R$89,6,FALSE)</f>
        <v>#N/A</v>
      </c>
      <c r="AE15" s="6" t="e">
        <f>VLOOKUP(H15,PortConfigOptions!$B$1:$R$89,7,FALSE)</f>
        <v>#N/A</v>
      </c>
      <c r="AF15" s="6" t="e">
        <f>VLOOKUP(H15,PortConfigOptions!$B$1:$R$89,8,FALSE)</f>
        <v>#N/A</v>
      </c>
      <c r="AG15" s="6" t="e">
        <f>VLOOKUP(H15,PortConfigOptions!$B$1:$R$89,9,FALSE)</f>
        <v>#N/A</v>
      </c>
      <c r="AH15" s="6" t="e">
        <f>VLOOKUP(H15,PortConfigOptions!$B$1:$R$89,10,FALSE)</f>
        <v>#N/A</v>
      </c>
      <c r="AI15" s="6" t="e">
        <f>VLOOKUP(H15,PortConfigOptions!$B$1:$R$89,11,FALSE)</f>
        <v>#N/A</v>
      </c>
      <c r="AJ15" s="6" t="e">
        <f>VLOOKUP(H15,PortConfigOptions!$B$1:$R$89,12,FALSE)</f>
        <v>#N/A</v>
      </c>
      <c r="AK15" s="6" t="e">
        <f>VLOOKUP(H15,PortConfigOptions!$B$1:$R$89,13,FALSE)</f>
        <v>#N/A</v>
      </c>
      <c r="AL15" s="6" t="e">
        <f>VLOOKUP(H15,PortConfigOptions!$B$1:$R$89,14,FALSE)</f>
        <v>#N/A</v>
      </c>
      <c r="AM15" s="6" t="e">
        <f>VLOOKUP(H15,PortConfigOptions!$B$1:$R$89,15,FALSE)</f>
        <v>#N/A</v>
      </c>
      <c r="AN15" s="6" t="e">
        <f>VLOOKUP(H15,PortConfigOptions!$B$1:$R$89,16,FALSE)</f>
        <v>#N/A</v>
      </c>
      <c r="AO15" s="6" t="e">
        <f>VLOOKUP(H15,PortConfigOptions!$B$1:$R$89,17,FALSE)</f>
        <v>#N/A</v>
      </c>
      <c r="AQ15" s="7" t="s">
        <v>258</v>
      </c>
      <c r="AR15" s="17"/>
      <c r="AS15" s="7" t="s">
        <v>270</v>
      </c>
      <c r="AT15" s="7" t="s">
        <v>267</v>
      </c>
      <c r="AU15" s="6" t="s">
        <v>268</v>
      </c>
      <c r="AV15" s="6" t="s">
        <v>43</v>
      </c>
    </row>
    <row r="16" spans="1:48" ht="31.15" x14ac:dyDescent="0.3">
      <c r="A16" s="6">
        <v>26</v>
      </c>
      <c r="B16" s="7">
        <v>44</v>
      </c>
      <c r="C16" s="7" t="s">
        <v>384</v>
      </c>
      <c r="D16" s="7" t="s">
        <v>44</v>
      </c>
      <c r="E16" s="17" t="s">
        <v>358</v>
      </c>
      <c r="F16" s="7" t="s">
        <v>257</v>
      </c>
      <c r="G16" s="7" t="s">
        <v>45</v>
      </c>
      <c r="H16" s="6" t="s">
        <v>45</v>
      </c>
      <c r="I16" s="6" t="e">
        <v>#N/A</v>
      </c>
      <c r="J16" s="6" t="e">
        <v>#N/A</v>
      </c>
      <c r="K16" s="6" t="e">
        <v>#N/A</v>
      </c>
      <c r="L16" s="6" t="e">
        <v>#N/A</v>
      </c>
      <c r="M16" s="7" t="e">
        <v>#N/A</v>
      </c>
      <c r="N16" s="6" t="e">
        <v>#N/A</v>
      </c>
      <c r="O16" s="6" t="e">
        <v>#N/A</v>
      </c>
      <c r="P16" s="7" t="e">
        <v>#N/A</v>
      </c>
      <c r="Q16" s="7" t="e">
        <v>#N/A</v>
      </c>
      <c r="R16" s="7" t="e">
        <v>#N/A</v>
      </c>
      <c r="S16" s="7" t="e">
        <v>#N/A</v>
      </c>
      <c r="T16" s="7" t="e">
        <v>#N/A</v>
      </c>
      <c r="U16" s="7" t="e">
        <v>#N/A</v>
      </c>
      <c r="V16" s="6" t="e">
        <v>#N/A</v>
      </c>
      <c r="W16" s="6" t="e">
        <v>#N/A</v>
      </c>
      <c r="X16" s="7" t="e">
        <v>#N/A</v>
      </c>
      <c r="Z16" s="6" t="e">
        <f>VLOOKUP(H16,PortConfigOptions!$B$1:$R$89,2,FALSE)</f>
        <v>#N/A</v>
      </c>
      <c r="AA16" s="6" t="e">
        <f>VLOOKUP(H16,PortConfigOptions!$B$1:$R$89,3,FALSE)</f>
        <v>#N/A</v>
      </c>
      <c r="AB16" s="6" t="e">
        <f>VLOOKUP(H16,PortConfigOptions!$B$1:$R$89,4,FALSE)</f>
        <v>#N/A</v>
      </c>
      <c r="AC16" s="6" t="e">
        <f>VLOOKUP(H16,PortConfigOptions!$B$1:$R$89,5,FALSE)</f>
        <v>#N/A</v>
      </c>
      <c r="AD16" s="6" t="e">
        <f>VLOOKUP(H16,PortConfigOptions!$B$1:$R$89,6,FALSE)</f>
        <v>#N/A</v>
      </c>
      <c r="AE16" s="6" t="e">
        <f>VLOOKUP(H16,PortConfigOptions!$B$1:$R$89,7,FALSE)</f>
        <v>#N/A</v>
      </c>
      <c r="AF16" s="6" t="e">
        <f>VLOOKUP(H16,PortConfigOptions!$B$1:$R$89,8,FALSE)</f>
        <v>#N/A</v>
      </c>
      <c r="AG16" s="6" t="e">
        <f>VLOOKUP(H16,PortConfigOptions!$B$1:$R$89,9,FALSE)</f>
        <v>#N/A</v>
      </c>
      <c r="AH16" s="6" t="e">
        <f>VLOOKUP(H16,PortConfigOptions!$B$1:$R$89,10,FALSE)</f>
        <v>#N/A</v>
      </c>
      <c r="AI16" s="6" t="e">
        <f>VLOOKUP(H16,PortConfigOptions!$B$1:$R$89,11,FALSE)</f>
        <v>#N/A</v>
      </c>
      <c r="AJ16" s="6" t="e">
        <f>VLOOKUP(H16,PortConfigOptions!$B$1:$R$89,12,FALSE)</f>
        <v>#N/A</v>
      </c>
      <c r="AK16" s="6" t="e">
        <f>VLOOKUP(H16,PortConfigOptions!$B$1:$R$89,13,FALSE)</f>
        <v>#N/A</v>
      </c>
      <c r="AL16" s="6" t="e">
        <f>VLOOKUP(H16,PortConfigOptions!$B$1:$R$89,14,FALSE)</f>
        <v>#N/A</v>
      </c>
      <c r="AM16" s="6" t="e">
        <f>VLOOKUP(H16,PortConfigOptions!$B$1:$R$89,15,FALSE)</f>
        <v>#N/A</v>
      </c>
      <c r="AN16" s="6" t="e">
        <f>VLOOKUP(H16,PortConfigOptions!$B$1:$R$89,16,FALSE)</f>
        <v>#N/A</v>
      </c>
      <c r="AO16" s="6" t="e">
        <f>VLOOKUP(H16,PortConfigOptions!$B$1:$R$89,17,FALSE)</f>
        <v>#N/A</v>
      </c>
      <c r="AQ16" s="7" t="s">
        <v>258</v>
      </c>
      <c r="AR16" s="17"/>
      <c r="AS16" s="7" t="s">
        <v>270</v>
      </c>
      <c r="AT16" s="7" t="s">
        <v>267</v>
      </c>
      <c r="AU16" s="6" t="s">
        <v>268</v>
      </c>
      <c r="AV16" s="6" t="s">
        <v>45</v>
      </c>
    </row>
    <row r="17" spans="1:48" ht="15.6" x14ac:dyDescent="0.3">
      <c r="A17" s="6">
        <v>27</v>
      </c>
      <c r="B17" s="7">
        <v>45</v>
      </c>
      <c r="C17" s="7" t="s">
        <v>271</v>
      </c>
      <c r="D17" s="7" t="s">
        <v>6</v>
      </c>
      <c r="E17" s="7" t="s">
        <v>6</v>
      </c>
      <c r="F17" s="7" t="s">
        <v>46</v>
      </c>
      <c r="G17" s="7" t="s">
        <v>6</v>
      </c>
      <c r="H17" s="6" t="s">
        <v>46</v>
      </c>
      <c r="I17" s="6" t="e">
        <v>#N/A</v>
      </c>
      <c r="J17" s="6" t="e">
        <v>#N/A</v>
      </c>
      <c r="K17" s="6" t="e">
        <v>#N/A</v>
      </c>
      <c r="L17" s="6" t="e">
        <v>#N/A</v>
      </c>
      <c r="M17" s="7" t="e">
        <v>#N/A</v>
      </c>
      <c r="N17" s="6" t="e">
        <v>#N/A</v>
      </c>
      <c r="O17" s="6" t="e">
        <v>#N/A</v>
      </c>
      <c r="P17" s="7" t="e">
        <v>#N/A</v>
      </c>
      <c r="Q17" s="7" t="e">
        <v>#N/A</v>
      </c>
      <c r="R17" s="7" t="e">
        <v>#N/A</v>
      </c>
      <c r="S17" s="7" t="e">
        <v>#N/A</v>
      </c>
      <c r="T17" s="7" t="e">
        <v>#N/A</v>
      </c>
      <c r="U17" s="7" t="e">
        <v>#N/A</v>
      </c>
      <c r="V17" s="6" t="e">
        <v>#N/A</v>
      </c>
      <c r="W17" s="6" t="e">
        <v>#N/A</v>
      </c>
      <c r="X17" s="7" t="e">
        <v>#N/A</v>
      </c>
      <c r="Z17" s="6" t="e">
        <f>VLOOKUP(H17,PortConfigOptions!$B$1:$R$89,2,FALSE)</f>
        <v>#N/A</v>
      </c>
      <c r="AA17" s="6" t="e">
        <f>VLOOKUP(H17,PortConfigOptions!$B$1:$R$89,3,FALSE)</f>
        <v>#N/A</v>
      </c>
      <c r="AB17" s="6" t="e">
        <f>VLOOKUP(H17,PortConfigOptions!$B$1:$R$89,4,FALSE)</f>
        <v>#N/A</v>
      </c>
      <c r="AC17" s="6" t="e">
        <f>VLOOKUP(H17,PortConfigOptions!$B$1:$R$89,5,FALSE)</f>
        <v>#N/A</v>
      </c>
      <c r="AD17" s="6" t="e">
        <f>VLOOKUP(H17,PortConfigOptions!$B$1:$R$89,6,FALSE)</f>
        <v>#N/A</v>
      </c>
      <c r="AE17" s="6" t="e">
        <f>VLOOKUP(H17,PortConfigOptions!$B$1:$R$89,7,FALSE)</f>
        <v>#N/A</v>
      </c>
      <c r="AF17" s="6" t="e">
        <f>VLOOKUP(H17,PortConfigOptions!$B$1:$R$89,8,FALSE)</f>
        <v>#N/A</v>
      </c>
      <c r="AG17" s="6" t="e">
        <f>VLOOKUP(H17,PortConfigOptions!$B$1:$R$89,9,FALSE)</f>
        <v>#N/A</v>
      </c>
      <c r="AH17" s="6" t="e">
        <f>VLOOKUP(H17,PortConfigOptions!$B$1:$R$89,10,FALSE)</f>
        <v>#N/A</v>
      </c>
      <c r="AI17" s="6" t="e">
        <f>VLOOKUP(H17,PortConfigOptions!$B$1:$R$89,11,FALSE)</f>
        <v>#N/A</v>
      </c>
      <c r="AJ17" s="6" t="e">
        <f>VLOOKUP(H17,PortConfigOptions!$B$1:$R$89,12,FALSE)</f>
        <v>#N/A</v>
      </c>
      <c r="AK17" s="6" t="e">
        <f>VLOOKUP(H17,PortConfigOptions!$B$1:$R$89,13,FALSE)</f>
        <v>#N/A</v>
      </c>
      <c r="AL17" s="6" t="e">
        <f>VLOOKUP(H17,PortConfigOptions!$B$1:$R$89,14,FALSE)</f>
        <v>#N/A</v>
      </c>
      <c r="AM17" s="6" t="e">
        <f>VLOOKUP(H17,PortConfigOptions!$B$1:$R$89,15,FALSE)</f>
        <v>#N/A</v>
      </c>
      <c r="AN17" s="6" t="e">
        <f>VLOOKUP(H17,PortConfigOptions!$B$1:$R$89,16,FALSE)</f>
        <v>#N/A</v>
      </c>
      <c r="AO17" s="6" t="e">
        <f>VLOOKUP(H17,PortConfigOptions!$B$1:$R$89,17,FALSE)</f>
        <v>#N/A</v>
      </c>
      <c r="AQ17" s="7" t="s">
        <v>258</v>
      </c>
      <c r="AS17" s="7" t="s">
        <v>270</v>
      </c>
      <c r="AT17" s="7" t="s">
        <v>267</v>
      </c>
      <c r="AU17" s="6" t="s">
        <v>268</v>
      </c>
      <c r="AV17" s="6" t="s">
        <v>46</v>
      </c>
    </row>
    <row r="18" spans="1:48" ht="15.6" x14ac:dyDescent="0.3">
      <c r="A18" s="6">
        <v>28</v>
      </c>
      <c r="B18" s="7">
        <v>46</v>
      </c>
      <c r="C18" s="7" t="s">
        <v>271</v>
      </c>
      <c r="D18" s="7" t="s">
        <v>6</v>
      </c>
      <c r="E18" s="7" t="s">
        <v>6</v>
      </c>
      <c r="F18" s="7" t="s">
        <v>47</v>
      </c>
      <c r="G18" s="7" t="s">
        <v>6</v>
      </c>
      <c r="H18" s="6" t="s">
        <v>47</v>
      </c>
      <c r="I18" s="6" t="e">
        <v>#N/A</v>
      </c>
      <c r="J18" s="6" t="e">
        <v>#N/A</v>
      </c>
      <c r="K18" s="6" t="e">
        <v>#N/A</v>
      </c>
      <c r="L18" s="6" t="e">
        <v>#N/A</v>
      </c>
      <c r="M18" s="7" t="e">
        <v>#N/A</v>
      </c>
      <c r="N18" s="6" t="e">
        <v>#N/A</v>
      </c>
      <c r="O18" s="6" t="e">
        <v>#N/A</v>
      </c>
      <c r="P18" s="7" t="e">
        <v>#N/A</v>
      </c>
      <c r="Q18" s="7" t="e">
        <v>#N/A</v>
      </c>
      <c r="R18" s="7" t="e">
        <v>#N/A</v>
      </c>
      <c r="S18" s="7" t="e">
        <v>#N/A</v>
      </c>
      <c r="T18" s="7" t="e">
        <v>#N/A</v>
      </c>
      <c r="U18" s="7" t="e">
        <v>#N/A</v>
      </c>
      <c r="V18" s="6" t="e">
        <v>#N/A</v>
      </c>
      <c r="W18" s="6" t="e">
        <v>#N/A</v>
      </c>
      <c r="X18" s="7" t="e">
        <v>#N/A</v>
      </c>
      <c r="Z18" s="6" t="e">
        <f>VLOOKUP(H18,PortConfigOptions!$B$1:$R$89,2,FALSE)</f>
        <v>#N/A</v>
      </c>
      <c r="AA18" s="6" t="e">
        <f>VLOOKUP(H18,PortConfigOptions!$B$1:$R$89,3,FALSE)</f>
        <v>#N/A</v>
      </c>
      <c r="AB18" s="6" t="e">
        <f>VLOOKUP(H18,PortConfigOptions!$B$1:$R$89,4,FALSE)</f>
        <v>#N/A</v>
      </c>
      <c r="AC18" s="6" t="e">
        <f>VLOOKUP(H18,PortConfigOptions!$B$1:$R$89,5,FALSE)</f>
        <v>#N/A</v>
      </c>
      <c r="AD18" s="6" t="e">
        <f>VLOOKUP(H18,PortConfigOptions!$B$1:$R$89,6,FALSE)</f>
        <v>#N/A</v>
      </c>
      <c r="AE18" s="6" t="e">
        <f>VLOOKUP(H18,PortConfigOptions!$B$1:$R$89,7,FALSE)</f>
        <v>#N/A</v>
      </c>
      <c r="AF18" s="6" t="e">
        <f>VLOOKUP(H18,PortConfigOptions!$B$1:$R$89,8,FALSE)</f>
        <v>#N/A</v>
      </c>
      <c r="AG18" s="6" t="e">
        <f>VLOOKUP(H18,PortConfigOptions!$B$1:$R$89,9,FALSE)</f>
        <v>#N/A</v>
      </c>
      <c r="AH18" s="6" t="e">
        <f>VLOOKUP(H18,PortConfigOptions!$B$1:$R$89,10,FALSE)</f>
        <v>#N/A</v>
      </c>
      <c r="AI18" s="6" t="e">
        <f>VLOOKUP(H18,PortConfigOptions!$B$1:$R$89,11,FALSE)</f>
        <v>#N/A</v>
      </c>
      <c r="AJ18" s="6" t="e">
        <f>VLOOKUP(H18,PortConfigOptions!$B$1:$R$89,12,FALSE)</f>
        <v>#N/A</v>
      </c>
      <c r="AK18" s="6" t="e">
        <f>VLOOKUP(H18,PortConfigOptions!$B$1:$R$89,13,FALSE)</f>
        <v>#N/A</v>
      </c>
      <c r="AL18" s="6" t="e">
        <f>VLOOKUP(H18,PortConfigOptions!$B$1:$R$89,14,FALSE)</f>
        <v>#N/A</v>
      </c>
      <c r="AM18" s="6" t="e">
        <f>VLOOKUP(H18,PortConfigOptions!$B$1:$R$89,15,FALSE)</f>
        <v>#N/A</v>
      </c>
      <c r="AN18" s="6" t="e">
        <f>VLOOKUP(H18,PortConfigOptions!$B$1:$R$89,16,FALSE)</f>
        <v>#N/A</v>
      </c>
      <c r="AO18" s="6" t="e">
        <f>VLOOKUP(H18,PortConfigOptions!$B$1:$R$89,17,FALSE)</f>
        <v>#N/A</v>
      </c>
      <c r="AQ18" s="7" t="s">
        <v>258</v>
      </c>
      <c r="AS18" s="7" t="s">
        <v>270</v>
      </c>
      <c r="AT18" s="7" t="s">
        <v>267</v>
      </c>
      <c r="AU18" s="6" t="s">
        <v>268</v>
      </c>
      <c r="AV18" s="6" t="s">
        <v>47</v>
      </c>
    </row>
    <row r="19" spans="1:48" ht="15.6" x14ac:dyDescent="0.3">
      <c r="A19" s="6">
        <v>29</v>
      </c>
      <c r="B19" s="7">
        <v>47</v>
      </c>
      <c r="C19" s="7" t="s">
        <v>271</v>
      </c>
      <c r="D19" s="7" t="s">
        <v>6</v>
      </c>
      <c r="E19" s="7" t="s">
        <v>6</v>
      </c>
      <c r="F19" s="7" t="s">
        <v>48</v>
      </c>
      <c r="G19" s="7" t="s">
        <v>6</v>
      </c>
      <c r="H19" s="6" t="s">
        <v>48</v>
      </c>
      <c r="I19" s="6" t="e">
        <v>#N/A</v>
      </c>
      <c r="J19" s="6" t="e">
        <v>#N/A</v>
      </c>
      <c r="K19" s="6" t="e">
        <v>#N/A</v>
      </c>
      <c r="L19" s="6" t="e">
        <v>#N/A</v>
      </c>
      <c r="M19" s="7" t="e">
        <v>#N/A</v>
      </c>
      <c r="N19" s="6" t="e">
        <v>#N/A</v>
      </c>
      <c r="O19" s="6" t="e">
        <v>#N/A</v>
      </c>
      <c r="P19" s="7" t="e">
        <v>#N/A</v>
      </c>
      <c r="Q19" s="7" t="e">
        <v>#N/A</v>
      </c>
      <c r="R19" s="7" t="e">
        <v>#N/A</v>
      </c>
      <c r="S19" s="7" t="e">
        <v>#N/A</v>
      </c>
      <c r="T19" s="7" t="e">
        <v>#N/A</v>
      </c>
      <c r="U19" s="7" t="e">
        <v>#N/A</v>
      </c>
      <c r="V19" s="6" t="e">
        <v>#N/A</v>
      </c>
      <c r="W19" s="6" t="e">
        <v>#N/A</v>
      </c>
      <c r="X19" s="7" t="e">
        <v>#N/A</v>
      </c>
      <c r="Z19" s="6" t="e">
        <f>VLOOKUP(H19,PortConfigOptions!$B$1:$R$89,2,FALSE)</f>
        <v>#N/A</v>
      </c>
      <c r="AA19" s="6" t="e">
        <f>VLOOKUP(H19,PortConfigOptions!$B$1:$R$89,3,FALSE)</f>
        <v>#N/A</v>
      </c>
      <c r="AB19" s="6" t="e">
        <f>VLOOKUP(H19,PortConfigOptions!$B$1:$R$89,4,FALSE)</f>
        <v>#N/A</v>
      </c>
      <c r="AC19" s="6" t="e">
        <f>VLOOKUP(H19,PortConfigOptions!$B$1:$R$89,5,FALSE)</f>
        <v>#N/A</v>
      </c>
      <c r="AD19" s="6" t="e">
        <f>VLOOKUP(H19,PortConfigOptions!$B$1:$R$89,6,FALSE)</f>
        <v>#N/A</v>
      </c>
      <c r="AE19" s="6" t="e">
        <f>VLOOKUP(H19,PortConfigOptions!$B$1:$R$89,7,FALSE)</f>
        <v>#N/A</v>
      </c>
      <c r="AF19" s="6" t="e">
        <f>VLOOKUP(H19,PortConfigOptions!$B$1:$R$89,8,FALSE)</f>
        <v>#N/A</v>
      </c>
      <c r="AG19" s="6" t="e">
        <f>VLOOKUP(H19,PortConfigOptions!$B$1:$R$89,9,FALSE)</f>
        <v>#N/A</v>
      </c>
      <c r="AH19" s="6" t="e">
        <f>VLOOKUP(H19,PortConfigOptions!$B$1:$R$89,10,FALSE)</f>
        <v>#N/A</v>
      </c>
      <c r="AI19" s="6" t="e">
        <f>VLOOKUP(H19,PortConfigOptions!$B$1:$R$89,11,FALSE)</f>
        <v>#N/A</v>
      </c>
      <c r="AJ19" s="6" t="e">
        <f>VLOOKUP(H19,PortConfigOptions!$B$1:$R$89,12,FALSE)</f>
        <v>#N/A</v>
      </c>
      <c r="AK19" s="6" t="e">
        <f>VLOOKUP(H19,PortConfigOptions!$B$1:$R$89,13,FALSE)</f>
        <v>#N/A</v>
      </c>
      <c r="AL19" s="6" t="e">
        <f>VLOOKUP(H19,PortConfigOptions!$B$1:$R$89,14,FALSE)</f>
        <v>#N/A</v>
      </c>
      <c r="AM19" s="6" t="e">
        <f>VLOOKUP(H19,PortConfigOptions!$B$1:$R$89,15,FALSE)</f>
        <v>#N/A</v>
      </c>
      <c r="AN19" s="6" t="e">
        <f>VLOOKUP(H19,PortConfigOptions!$B$1:$R$89,16,FALSE)</f>
        <v>#N/A</v>
      </c>
      <c r="AO19" s="6" t="e">
        <f>VLOOKUP(H19,PortConfigOptions!$B$1:$R$89,17,FALSE)</f>
        <v>#N/A</v>
      </c>
      <c r="AQ19" s="7" t="s">
        <v>258</v>
      </c>
      <c r="AS19" s="7" t="s">
        <v>270</v>
      </c>
      <c r="AT19" s="7" t="s">
        <v>267</v>
      </c>
      <c r="AU19" s="6" t="s">
        <v>268</v>
      </c>
      <c r="AV19" s="6" t="s">
        <v>48</v>
      </c>
    </row>
    <row r="20" spans="1:48" ht="15.6" x14ac:dyDescent="0.3">
      <c r="A20" s="6">
        <v>30</v>
      </c>
      <c r="B20" s="7">
        <v>48</v>
      </c>
      <c r="C20" s="7" t="s">
        <v>384</v>
      </c>
      <c r="D20" s="7" t="s">
        <v>49</v>
      </c>
      <c r="E20" s="7" t="s">
        <v>351</v>
      </c>
      <c r="F20" s="7" t="s">
        <v>257</v>
      </c>
      <c r="G20" s="7" t="s">
        <v>50</v>
      </c>
      <c r="H20" s="6" t="s">
        <v>50</v>
      </c>
      <c r="I20" s="6" t="e">
        <v>#N/A</v>
      </c>
      <c r="J20" s="6" t="e">
        <v>#N/A</v>
      </c>
      <c r="K20" s="6" t="e">
        <v>#N/A</v>
      </c>
      <c r="L20" s="6" t="e">
        <v>#N/A</v>
      </c>
      <c r="M20" s="7" t="e">
        <v>#N/A</v>
      </c>
      <c r="N20" s="6" t="e">
        <v>#N/A</v>
      </c>
      <c r="O20" s="6" t="e">
        <v>#N/A</v>
      </c>
      <c r="P20" s="7" t="e">
        <v>#N/A</v>
      </c>
      <c r="Q20" s="7" t="e">
        <v>#N/A</v>
      </c>
      <c r="R20" s="7" t="e">
        <v>#N/A</v>
      </c>
      <c r="S20" s="7" t="e">
        <v>#N/A</v>
      </c>
      <c r="T20" s="7" t="e">
        <v>#N/A</v>
      </c>
      <c r="U20" s="7" t="e">
        <v>#N/A</v>
      </c>
      <c r="V20" s="6" t="e">
        <v>#N/A</v>
      </c>
      <c r="W20" s="6" t="e">
        <v>#N/A</v>
      </c>
      <c r="X20" s="7" t="e">
        <v>#N/A</v>
      </c>
      <c r="Z20" s="6" t="e">
        <f>VLOOKUP(H20,PortConfigOptions!$B$1:$R$89,2,FALSE)</f>
        <v>#N/A</v>
      </c>
      <c r="AA20" s="6" t="e">
        <f>VLOOKUP(H20,PortConfigOptions!$B$1:$R$89,3,FALSE)</f>
        <v>#N/A</v>
      </c>
      <c r="AB20" s="6" t="e">
        <f>VLOOKUP(H20,PortConfigOptions!$B$1:$R$89,4,FALSE)</f>
        <v>#N/A</v>
      </c>
      <c r="AC20" s="6" t="e">
        <f>VLOOKUP(H20,PortConfigOptions!$B$1:$R$89,5,FALSE)</f>
        <v>#N/A</v>
      </c>
      <c r="AD20" s="6" t="e">
        <f>VLOOKUP(H20,PortConfigOptions!$B$1:$R$89,6,FALSE)</f>
        <v>#N/A</v>
      </c>
      <c r="AE20" s="6" t="e">
        <f>VLOOKUP(H20,PortConfigOptions!$B$1:$R$89,7,FALSE)</f>
        <v>#N/A</v>
      </c>
      <c r="AF20" s="6" t="e">
        <f>VLOOKUP(H20,PortConfigOptions!$B$1:$R$89,8,FALSE)</f>
        <v>#N/A</v>
      </c>
      <c r="AG20" s="6" t="e">
        <f>VLOOKUP(H20,PortConfigOptions!$B$1:$R$89,9,FALSE)</f>
        <v>#N/A</v>
      </c>
      <c r="AH20" s="6" t="e">
        <f>VLOOKUP(H20,PortConfigOptions!$B$1:$R$89,10,FALSE)</f>
        <v>#N/A</v>
      </c>
      <c r="AI20" s="6" t="e">
        <f>VLOOKUP(H20,PortConfigOptions!$B$1:$R$89,11,FALSE)</f>
        <v>#N/A</v>
      </c>
      <c r="AJ20" s="6" t="e">
        <f>VLOOKUP(H20,PortConfigOptions!$B$1:$R$89,12,FALSE)</f>
        <v>#N/A</v>
      </c>
      <c r="AK20" s="6" t="e">
        <f>VLOOKUP(H20,PortConfigOptions!$B$1:$R$89,13,FALSE)</f>
        <v>#N/A</v>
      </c>
      <c r="AL20" s="6" t="e">
        <f>VLOOKUP(H20,PortConfigOptions!$B$1:$R$89,14,FALSE)</f>
        <v>#N/A</v>
      </c>
      <c r="AM20" s="6" t="e">
        <f>VLOOKUP(H20,PortConfigOptions!$B$1:$R$89,15,FALSE)</f>
        <v>#N/A</v>
      </c>
      <c r="AN20" s="6" t="e">
        <f>VLOOKUP(H20,PortConfigOptions!$B$1:$R$89,16,FALSE)</f>
        <v>#N/A</v>
      </c>
      <c r="AO20" s="6" t="e">
        <f>VLOOKUP(H20,PortConfigOptions!$B$1:$R$89,17,FALSE)</f>
        <v>#N/A</v>
      </c>
      <c r="AQ20" s="7" t="s">
        <v>258</v>
      </c>
      <c r="AS20" s="7" t="s">
        <v>270</v>
      </c>
      <c r="AT20" s="7" t="s">
        <v>267</v>
      </c>
      <c r="AU20" s="6" t="s">
        <v>268</v>
      </c>
      <c r="AV20" s="6" t="s">
        <v>50</v>
      </c>
    </row>
    <row r="21" spans="1:48" ht="31.15" x14ac:dyDescent="0.3">
      <c r="A21" s="6">
        <v>31</v>
      </c>
      <c r="B21" s="7">
        <v>49</v>
      </c>
      <c r="C21" s="7" t="s">
        <v>384</v>
      </c>
      <c r="D21" s="7" t="s">
        <v>51</v>
      </c>
      <c r="E21" s="17" t="s">
        <v>359</v>
      </c>
      <c r="F21" s="7" t="s">
        <v>257</v>
      </c>
      <c r="G21" s="7" t="s">
        <v>52</v>
      </c>
      <c r="H21" s="6" t="s">
        <v>52</v>
      </c>
      <c r="I21" s="6" t="e">
        <v>#N/A</v>
      </c>
      <c r="J21" s="6" t="e">
        <v>#N/A</v>
      </c>
      <c r="K21" s="6" t="e">
        <v>#N/A</v>
      </c>
      <c r="L21" s="6" t="e">
        <v>#N/A</v>
      </c>
      <c r="M21" s="7" t="e">
        <v>#N/A</v>
      </c>
      <c r="N21" s="6" t="e">
        <v>#N/A</v>
      </c>
      <c r="O21" s="6" t="e">
        <v>#N/A</v>
      </c>
      <c r="P21" s="7" t="e">
        <v>#N/A</v>
      </c>
      <c r="Q21" s="7" t="e">
        <v>#N/A</v>
      </c>
      <c r="R21" s="7" t="e">
        <v>#N/A</v>
      </c>
      <c r="S21" s="7" t="e">
        <v>#N/A</v>
      </c>
      <c r="T21" s="7" t="e">
        <v>#N/A</v>
      </c>
      <c r="U21" s="7" t="e">
        <v>#N/A</v>
      </c>
      <c r="V21" s="6" t="e">
        <v>#N/A</v>
      </c>
      <c r="W21" s="6" t="e">
        <v>#N/A</v>
      </c>
      <c r="X21" s="7" t="e">
        <v>#N/A</v>
      </c>
      <c r="Z21" s="6" t="e">
        <f>VLOOKUP(H21,PortConfigOptions!$B$1:$R$89,2,FALSE)</f>
        <v>#N/A</v>
      </c>
      <c r="AA21" s="6" t="e">
        <f>VLOOKUP(H21,PortConfigOptions!$B$1:$R$89,3,FALSE)</f>
        <v>#N/A</v>
      </c>
      <c r="AB21" s="6" t="e">
        <f>VLOOKUP(H21,PortConfigOptions!$B$1:$R$89,4,FALSE)</f>
        <v>#N/A</v>
      </c>
      <c r="AC21" s="6" t="e">
        <f>VLOOKUP(H21,PortConfigOptions!$B$1:$R$89,5,FALSE)</f>
        <v>#N/A</v>
      </c>
      <c r="AD21" s="6" t="e">
        <f>VLOOKUP(H21,PortConfigOptions!$B$1:$R$89,6,FALSE)</f>
        <v>#N/A</v>
      </c>
      <c r="AE21" s="6" t="e">
        <f>VLOOKUP(H21,PortConfigOptions!$B$1:$R$89,7,FALSE)</f>
        <v>#N/A</v>
      </c>
      <c r="AF21" s="6" t="e">
        <f>VLOOKUP(H21,PortConfigOptions!$B$1:$R$89,8,FALSE)</f>
        <v>#N/A</v>
      </c>
      <c r="AG21" s="6" t="e">
        <f>VLOOKUP(H21,PortConfigOptions!$B$1:$R$89,9,FALSE)</f>
        <v>#N/A</v>
      </c>
      <c r="AH21" s="6" t="e">
        <f>VLOOKUP(H21,PortConfigOptions!$B$1:$R$89,10,FALSE)</f>
        <v>#N/A</v>
      </c>
      <c r="AI21" s="6" t="e">
        <f>VLOOKUP(H21,PortConfigOptions!$B$1:$R$89,11,FALSE)</f>
        <v>#N/A</v>
      </c>
      <c r="AJ21" s="6" t="e">
        <f>VLOOKUP(H21,PortConfigOptions!$B$1:$R$89,12,FALSE)</f>
        <v>#N/A</v>
      </c>
      <c r="AK21" s="6" t="e">
        <f>VLOOKUP(H21,PortConfigOptions!$B$1:$R$89,13,FALSE)</f>
        <v>#N/A</v>
      </c>
      <c r="AL21" s="6" t="e">
        <f>VLOOKUP(H21,PortConfigOptions!$B$1:$R$89,14,FALSE)</f>
        <v>#N/A</v>
      </c>
      <c r="AM21" s="6" t="e">
        <f>VLOOKUP(H21,PortConfigOptions!$B$1:$R$89,15,FALSE)</f>
        <v>#N/A</v>
      </c>
      <c r="AN21" s="6" t="e">
        <f>VLOOKUP(H21,PortConfigOptions!$B$1:$R$89,16,FALSE)</f>
        <v>#N/A</v>
      </c>
      <c r="AO21" s="6" t="e">
        <f>VLOOKUP(H21,PortConfigOptions!$B$1:$R$89,17,FALSE)</f>
        <v>#N/A</v>
      </c>
      <c r="AQ21" s="7" t="s">
        <v>258</v>
      </c>
      <c r="AR21" s="17"/>
      <c r="AS21" s="7" t="s">
        <v>270</v>
      </c>
      <c r="AT21" s="7" t="s">
        <v>267</v>
      </c>
      <c r="AU21" s="6" t="s">
        <v>268</v>
      </c>
      <c r="AV21" s="6" t="s">
        <v>52</v>
      </c>
    </row>
    <row r="22" spans="1:48" ht="15.6" x14ac:dyDescent="0.3">
      <c r="A22" s="6">
        <v>10</v>
      </c>
      <c r="B22" s="7">
        <v>33</v>
      </c>
      <c r="C22" s="7" t="s">
        <v>384</v>
      </c>
      <c r="D22" s="7" t="s">
        <v>6</v>
      </c>
      <c r="E22" s="7" t="s">
        <v>6</v>
      </c>
      <c r="F22" s="7" t="s">
        <v>256</v>
      </c>
      <c r="G22" s="7" t="s">
        <v>6</v>
      </c>
      <c r="H22" s="6" t="s">
        <v>21</v>
      </c>
      <c r="I22" s="6" t="e">
        <v>#N/A</v>
      </c>
      <c r="J22" s="6" t="e">
        <v>#N/A</v>
      </c>
      <c r="K22" s="6" t="e">
        <v>#N/A</v>
      </c>
      <c r="L22" s="6" t="e">
        <v>#N/A</v>
      </c>
      <c r="M22" s="7" t="e">
        <v>#N/A</v>
      </c>
      <c r="N22" s="6" t="e">
        <v>#N/A</v>
      </c>
      <c r="O22" s="6" t="e">
        <v>#N/A</v>
      </c>
      <c r="P22" s="7" t="e">
        <v>#N/A</v>
      </c>
      <c r="Q22" s="7" t="e">
        <v>#N/A</v>
      </c>
      <c r="R22" s="7" t="e">
        <v>#N/A</v>
      </c>
      <c r="S22" s="7" t="e">
        <v>#N/A</v>
      </c>
      <c r="T22" s="7" t="e">
        <v>#N/A</v>
      </c>
      <c r="U22" s="7" t="e">
        <v>#N/A</v>
      </c>
      <c r="V22" s="6" t="e">
        <v>#N/A</v>
      </c>
      <c r="W22" s="6" t="e">
        <v>#N/A</v>
      </c>
      <c r="X22" s="7" t="e">
        <v>#N/A</v>
      </c>
      <c r="Z22" s="6" t="e">
        <f>VLOOKUP(H22,PortConfigOptions!$B$1:$R$89,2,FALSE)</f>
        <v>#N/A</v>
      </c>
      <c r="AA22" s="6" t="e">
        <f>VLOOKUP(H22,PortConfigOptions!$B$1:$R$89,3,FALSE)</f>
        <v>#N/A</v>
      </c>
      <c r="AB22" s="6" t="e">
        <f>VLOOKUP(H22,PortConfigOptions!$B$1:$R$89,4,FALSE)</f>
        <v>#N/A</v>
      </c>
      <c r="AC22" s="6" t="e">
        <f>VLOOKUP(H22,PortConfigOptions!$B$1:$R$89,5,FALSE)</f>
        <v>#N/A</v>
      </c>
      <c r="AD22" s="6" t="e">
        <f>VLOOKUP(H22,PortConfigOptions!$B$1:$R$89,6,FALSE)</f>
        <v>#N/A</v>
      </c>
      <c r="AE22" s="6" t="e">
        <f>VLOOKUP(H22,PortConfigOptions!$B$1:$R$89,7,FALSE)</f>
        <v>#N/A</v>
      </c>
      <c r="AF22" s="6" t="e">
        <f>VLOOKUP(H22,PortConfigOptions!$B$1:$R$89,8,FALSE)</f>
        <v>#N/A</v>
      </c>
      <c r="AG22" s="6" t="e">
        <f>VLOOKUP(H22,PortConfigOptions!$B$1:$R$89,9,FALSE)</f>
        <v>#N/A</v>
      </c>
      <c r="AH22" s="6" t="e">
        <f>VLOOKUP(H22,PortConfigOptions!$B$1:$R$89,10,FALSE)</f>
        <v>#N/A</v>
      </c>
      <c r="AI22" s="6" t="e">
        <f>VLOOKUP(H22,PortConfigOptions!$B$1:$R$89,11,FALSE)</f>
        <v>#N/A</v>
      </c>
      <c r="AJ22" s="6" t="e">
        <f>VLOOKUP(H22,PortConfigOptions!$B$1:$R$89,12,FALSE)</f>
        <v>#N/A</v>
      </c>
      <c r="AK22" s="6" t="e">
        <f>VLOOKUP(H22,PortConfigOptions!$B$1:$R$89,13,FALSE)</f>
        <v>#N/A</v>
      </c>
      <c r="AL22" s="6" t="e">
        <f>VLOOKUP(H22,PortConfigOptions!$B$1:$R$89,14,FALSE)</f>
        <v>#N/A</v>
      </c>
      <c r="AM22" s="6" t="e">
        <f>VLOOKUP(H22,PortConfigOptions!$B$1:$R$89,15,FALSE)</f>
        <v>#N/A</v>
      </c>
      <c r="AN22" s="6" t="e">
        <f>VLOOKUP(H22,PortConfigOptions!$B$1:$R$89,16,FALSE)</f>
        <v>#N/A</v>
      </c>
      <c r="AO22" s="6" t="e">
        <f>VLOOKUP(H22,PortConfigOptions!$B$1:$R$89,17,FALSE)</f>
        <v>#N/A</v>
      </c>
      <c r="AQ22" s="7" t="s">
        <v>258</v>
      </c>
      <c r="AS22" s="7" t="s">
        <v>270</v>
      </c>
      <c r="AT22" s="7" t="s">
        <v>267</v>
      </c>
      <c r="AU22" s="6" t="s">
        <v>268</v>
      </c>
      <c r="AV22" s="6" t="s">
        <v>21</v>
      </c>
    </row>
    <row r="23" spans="1:48" ht="15.6" x14ac:dyDescent="0.3">
      <c r="A23" s="6">
        <v>11</v>
      </c>
      <c r="B23" s="7">
        <v>32</v>
      </c>
      <c r="C23" s="7" t="s">
        <v>384</v>
      </c>
      <c r="D23" s="7" t="s">
        <v>22</v>
      </c>
      <c r="E23" s="7" t="s">
        <v>352</v>
      </c>
      <c r="F23" s="7" t="s">
        <v>256</v>
      </c>
      <c r="G23" s="7" t="s">
        <v>23</v>
      </c>
      <c r="H23" s="6" t="s">
        <v>23</v>
      </c>
      <c r="I23" s="6" t="e">
        <v>#N/A</v>
      </c>
      <c r="J23" s="6" t="e">
        <v>#N/A</v>
      </c>
      <c r="K23" s="6" t="e">
        <v>#N/A</v>
      </c>
      <c r="L23" s="6" t="e">
        <v>#N/A</v>
      </c>
      <c r="M23" s="7" t="e">
        <v>#N/A</v>
      </c>
      <c r="N23" s="6" t="e">
        <v>#N/A</v>
      </c>
      <c r="O23" s="6" t="e">
        <v>#N/A</v>
      </c>
      <c r="P23" s="7" t="e">
        <v>#N/A</v>
      </c>
      <c r="Q23" s="7" t="e">
        <v>#N/A</v>
      </c>
      <c r="R23" s="7" t="e">
        <v>#N/A</v>
      </c>
      <c r="S23" s="7" t="e">
        <v>#N/A</v>
      </c>
      <c r="T23" s="7" t="e">
        <v>#N/A</v>
      </c>
      <c r="U23" s="7" t="e">
        <v>#N/A</v>
      </c>
      <c r="V23" s="6" t="e">
        <v>#N/A</v>
      </c>
      <c r="W23" s="6" t="e">
        <v>#N/A</v>
      </c>
      <c r="X23" s="7" t="e">
        <v>#N/A</v>
      </c>
      <c r="Z23" s="6" t="e">
        <f>VLOOKUP(H23,PortConfigOptions!$B$1:$R$89,2,FALSE)</f>
        <v>#N/A</v>
      </c>
      <c r="AA23" s="6" t="e">
        <f>VLOOKUP(H23,PortConfigOptions!$B$1:$R$89,3,FALSE)</f>
        <v>#N/A</v>
      </c>
      <c r="AB23" s="6" t="e">
        <f>VLOOKUP(H23,PortConfigOptions!$B$1:$R$89,4,FALSE)</f>
        <v>#N/A</v>
      </c>
      <c r="AC23" s="6" t="e">
        <f>VLOOKUP(H23,PortConfigOptions!$B$1:$R$89,5,FALSE)</f>
        <v>#N/A</v>
      </c>
      <c r="AD23" s="6" t="e">
        <f>VLOOKUP(H23,PortConfigOptions!$B$1:$R$89,6,FALSE)</f>
        <v>#N/A</v>
      </c>
      <c r="AE23" s="6" t="e">
        <f>VLOOKUP(H23,PortConfigOptions!$B$1:$R$89,7,FALSE)</f>
        <v>#N/A</v>
      </c>
      <c r="AF23" s="6" t="e">
        <f>VLOOKUP(H23,PortConfigOptions!$B$1:$R$89,8,FALSE)</f>
        <v>#N/A</v>
      </c>
      <c r="AG23" s="6" t="e">
        <f>VLOOKUP(H23,PortConfigOptions!$B$1:$R$89,9,FALSE)</f>
        <v>#N/A</v>
      </c>
      <c r="AH23" s="6" t="e">
        <f>VLOOKUP(H23,PortConfigOptions!$B$1:$R$89,10,FALSE)</f>
        <v>#N/A</v>
      </c>
      <c r="AI23" s="6" t="e">
        <f>VLOOKUP(H23,PortConfigOptions!$B$1:$R$89,11,FALSE)</f>
        <v>#N/A</v>
      </c>
      <c r="AJ23" s="6" t="e">
        <f>VLOOKUP(H23,PortConfigOptions!$B$1:$R$89,12,FALSE)</f>
        <v>#N/A</v>
      </c>
      <c r="AK23" s="6" t="e">
        <f>VLOOKUP(H23,PortConfigOptions!$B$1:$R$89,13,FALSE)</f>
        <v>#N/A</v>
      </c>
      <c r="AL23" s="6" t="e">
        <f>VLOOKUP(H23,PortConfigOptions!$B$1:$R$89,14,FALSE)</f>
        <v>#N/A</v>
      </c>
      <c r="AM23" s="6" t="e">
        <f>VLOOKUP(H23,PortConfigOptions!$B$1:$R$89,15,FALSE)</f>
        <v>#N/A</v>
      </c>
      <c r="AN23" s="6" t="e">
        <f>VLOOKUP(H23,PortConfigOptions!$B$1:$R$89,16,FALSE)</f>
        <v>#N/A</v>
      </c>
      <c r="AO23" s="6" t="e">
        <f>VLOOKUP(H23,PortConfigOptions!$B$1:$R$89,17,FALSE)</f>
        <v>#N/A</v>
      </c>
      <c r="AQ23" s="7" t="s">
        <v>258</v>
      </c>
      <c r="AS23" s="7" t="s">
        <v>270</v>
      </c>
      <c r="AT23" s="7" t="s">
        <v>267</v>
      </c>
      <c r="AU23" s="6" t="s">
        <v>268</v>
      </c>
      <c r="AV23" s="6" t="s">
        <v>23</v>
      </c>
    </row>
    <row r="24" spans="1:48" ht="15.6" x14ac:dyDescent="0.3">
      <c r="A24" s="6">
        <v>20</v>
      </c>
      <c r="B24" s="7">
        <v>23</v>
      </c>
      <c r="C24" s="7" t="s">
        <v>271</v>
      </c>
      <c r="D24" s="7" t="s">
        <v>6</v>
      </c>
      <c r="E24" s="7" t="s">
        <v>6</v>
      </c>
      <c r="F24" s="7" t="s">
        <v>34</v>
      </c>
      <c r="G24" s="7" t="s">
        <v>6</v>
      </c>
      <c r="H24" s="6" t="s">
        <v>34</v>
      </c>
      <c r="I24" s="6" t="e">
        <v>#N/A</v>
      </c>
      <c r="J24" s="6" t="e">
        <v>#N/A</v>
      </c>
      <c r="K24" s="6" t="e">
        <v>#N/A</v>
      </c>
      <c r="L24" s="6" t="e">
        <v>#N/A</v>
      </c>
      <c r="M24" s="7" t="e">
        <v>#N/A</v>
      </c>
      <c r="N24" s="6" t="e">
        <v>#N/A</v>
      </c>
      <c r="O24" s="6" t="e">
        <v>#N/A</v>
      </c>
      <c r="P24" s="7" t="e">
        <v>#N/A</v>
      </c>
      <c r="Q24" s="7" t="e">
        <v>#N/A</v>
      </c>
      <c r="R24" s="7" t="e">
        <v>#N/A</v>
      </c>
      <c r="S24" s="7" t="e">
        <v>#N/A</v>
      </c>
      <c r="T24" s="7" t="e">
        <v>#N/A</v>
      </c>
      <c r="U24" s="7" t="e">
        <v>#N/A</v>
      </c>
      <c r="V24" s="6" t="e">
        <v>#N/A</v>
      </c>
      <c r="W24" s="6" t="e">
        <v>#N/A</v>
      </c>
      <c r="X24" s="7" t="e">
        <v>#N/A</v>
      </c>
      <c r="Z24" s="6" t="e">
        <f>VLOOKUP(H24,PortConfigOptions!$B$1:$R$89,2,FALSE)</f>
        <v>#N/A</v>
      </c>
      <c r="AA24" s="6" t="e">
        <f>VLOOKUP(H24,PortConfigOptions!$B$1:$R$89,3,FALSE)</f>
        <v>#N/A</v>
      </c>
      <c r="AB24" s="6" t="e">
        <f>VLOOKUP(H24,PortConfigOptions!$B$1:$R$89,4,FALSE)</f>
        <v>#N/A</v>
      </c>
      <c r="AC24" s="6" t="e">
        <f>VLOOKUP(H24,PortConfigOptions!$B$1:$R$89,5,FALSE)</f>
        <v>#N/A</v>
      </c>
      <c r="AD24" s="6" t="e">
        <f>VLOOKUP(H24,PortConfigOptions!$B$1:$R$89,6,FALSE)</f>
        <v>#N/A</v>
      </c>
      <c r="AE24" s="6" t="e">
        <f>VLOOKUP(H24,PortConfigOptions!$B$1:$R$89,7,FALSE)</f>
        <v>#N/A</v>
      </c>
      <c r="AF24" s="6" t="e">
        <f>VLOOKUP(H24,PortConfigOptions!$B$1:$R$89,8,FALSE)</f>
        <v>#N/A</v>
      </c>
      <c r="AG24" s="6" t="e">
        <f>VLOOKUP(H24,PortConfigOptions!$B$1:$R$89,9,FALSE)</f>
        <v>#N/A</v>
      </c>
      <c r="AH24" s="6" t="e">
        <f>VLOOKUP(H24,PortConfigOptions!$B$1:$R$89,10,FALSE)</f>
        <v>#N/A</v>
      </c>
      <c r="AI24" s="6" t="e">
        <f>VLOOKUP(H24,PortConfigOptions!$B$1:$R$89,11,FALSE)</f>
        <v>#N/A</v>
      </c>
      <c r="AJ24" s="6" t="e">
        <f>VLOOKUP(H24,PortConfigOptions!$B$1:$R$89,12,FALSE)</f>
        <v>#N/A</v>
      </c>
      <c r="AK24" s="6" t="e">
        <f>VLOOKUP(H24,PortConfigOptions!$B$1:$R$89,13,FALSE)</f>
        <v>#N/A</v>
      </c>
      <c r="AL24" s="6" t="e">
        <f>VLOOKUP(H24,PortConfigOptions!$B$1:$R$89,14,FALSE)</f>
        <v>#N/A</v>
      </c>
      <c r="AM24" s="6" t="e">
        <f>VLOOKUP(H24,PortConfigOptions!$B$1:$R$89,15,FALSE)</f>
        <v>#N/A</v>
      </c>
      <c r="AN24" s="6" t="e">
        <f>VLOOKUP(H24,PortConfigOptions!$B$1:$R$89,16,FALSE)</f>
        <v>#N/A</v>
      </c>
      <c r="AO24" s="6" t="e">
        <f>VLOOKUP(H24,PortConfigOptions!$B$1:$R$89,17,FALSE)</f>
        <v>#N/A</v>
      </c>
      <c r="AQ24" s="7" t="s">
        <v>258</v>
      </c>
      <c r="AS24" s="7" t="s">
        <v>270</v>
      </c>
      <c r="AT24" s="7" t="s">
        <v>267</v>
      </c>
      <c r="AU24" s="6" t="s">
        <v>268</v>
      </c>
      <c r="AV24" s="6" t="s">
        <v>34</v>
      </c>
    </row>
    <row r="25" spans="1:48" ht="15.6" x14ac:dyDescent="0.3">
      <c r="A25" s="6">
        <v>21</v>
      </c>
      <c r="B25" s="7">
        <v>22</v>
      </c>
      <c r="C25" s="7" t="s">
        <v>384</v>
      </c>
      <c r="D25" s="7" t="s">
        <v>35</v>
      </c>
      <c r="E25" s="7" t="s">
        <v>354</v>
      </c>
      <c r="F25" s="7" t="s">
        <v>256</v>
      </c>
      <c r="G25" s="7" t="s">
        <v>36</v>
      </c>
      <c r="H25" s="6" t="s">
        <v>36</v>
      </c>
      <c r="I25" s="6" t="e">
        <v>#N/A</v>
      </c>
      <c r="J25" s="6" t="e">
        <v>#N/A</v>
      </c>
      <c r="K25" s="6" t="e">
        <v>#N/A</v>
      </c>
      <c r="L25" s="6" t="e">
        <v>#N/A</v>
      </c>
      <c r="M25" s="7" t="e">
        <v>#N/A</v>
      </c>
      <c r="N25" s="6" t="e">
        <v>#N/A</v>
      </c>
      <c r="O25" s="6" t="e">
        <v>#N/A</v>
      </c>
      <c r="P25" s="7" t="e">
        <v>#N/A</v>
      </c>
      <c r="Q25" s="7" t="e">
        <v>#N/A</v>
      </c>
      <c r="R25" s="7" t="e">
        <v>#N/A</v>
      </c>
      <c r="S25" s="7" t="e">
        <v>#N/A</v>
      </c>
      <c r="T25" s="7" t="e">
        <v>#N/A</v>
      </c>
      <c r="U25" s="7" t="e">
        <v>#N/A</v>
      </c>
      <c r="V25" s="6" t="e">
        <v>#N/A</v>
      </c>
      <c r="W25" s="6" t="e">
        <v>#N/A</v>
      </c>
      <c r="X25" s="7" t="e">
        <v>#N/A</v>
      </c>
      <c r="Z25" s="6" t="e">
        <f>VLOOKUP(H25,PortConfigOptions!$B$1:$R$89,2,FALSE)</f>
        <v>#N/A</v>
      </c>
      <c r="AA25" s="6" t="e">
        <f>VLOOKUP(H25,PortConfigOptions!$B$1:$R$89,3,FALSE)</f>
        <v>#N/A</v>
      </c>
      <c r="AB25" s="6" t="e">
        <f>VLOOKUP(H25,PortConfigOptions!$B$1:$R$89,4,FALSE)</f>
        <v>#N/A</v>
      </c>
      <c r="AC25" s="6" t="e">
        <f>VLOOKUP(H25,PortConfigOptions!$B$1:$R$89,5,FALSE)</f>
        <v>#N/A</v>
      </c>
      <c r="AD25" s="6" t="e">
        <f>VLOOKUP(H25,PortConfigOptions!$B$1:$R$89,6,FALSE)</f>
        <v>#N/A</v>
      </c>
      <c r="AE25" s="6" t="e">
        <f>VLOOKUP(H25,PortConfigOptions!$B$1:$R$89,7,FALSE)</f>
        <v>#N/A</v>
      </c>
      <c r="AF25" s="6" t="e">
        <f>VLOOKUP(H25,PortConfigOptions!$B$1:$R$89,8,FALSE)</f>
        <v>#N/A</v>
      </c>
      <c r="AG25" s="6" t="e">
        <f>VLOOKUP(H25,PortConfigOptions!$B$1:$R$89,9,FALSE)</f>
        <v>#N/A</v>
      </c>
      <c r="AH25" s="6" t="e">
        <f>VLOOKUP(H25,PortConfigOptions!$B$1:$R$89,10,FALSE)</f>
        <v>#N/A</v>
      </c>
      <c r="AI25" s="6" t="e">
        <f>VLOOKUP(H25,PortConfigOptions!$B$1:$R$89,11,FALSE)</f>
        <v>#N/A</v>
      </c>
      <c r="AJ25" s="6" t="e">
        <f>VLOOKUP(H25,PortConfigOptions!$B$1:$R$89,12,FALSE)</f>
        <v>#N/A</v>
      </c>
      <c r="AK25" s="6" t="e">
        <f>VLOOKUP(H25,PortConfigOptions!$B$1:$R$89,13,FALSE)</f>
        <v>#N/A</v>
      </c>
      <c r="AL25" s="6" t="e">
        <f>VLOOKUP(H25,PortConfigOptions!$B$1:$R$89,14,FALSE)</f>
        <v>#N/A</v>
      </c>
      <c r="AM25" s="6" t="e">
        <f>VLOOKUP(H25,PortConfigOptions!$B$1:$R$89,15,FALSE)</f>
        <v>#N/A</v>
      </c>
      <c r="AN25" s="6" t="e">
        <f>VLOOKUP(H25,PortConfigOptions!$B$1:$R$89,16,FALSE)</f>
        <v>#N/A</v>
      </c>
      <c r="AO25" s="6" t="e">
        <f>VLOOKUP(H25,PortConfigOptions!$B$1:$R$89,17,FALSE)</f>
        <v>#N/A</v>
      </c>
      <c r="AQ25" s="7" t="s">
        <v>258</v>
      </c>
      <c r="AS25" s="7" t="s">
        <v>270</v>
      </c>
      <c r="AT25" s="7" t="s">
        <v>267</v>
      </c>
      <c r="AU25" s="6" t="s">
        <v>268</v>
      </c>
      <c r="AV25" s="6" t="s">
        <v>36</v>
      </c>
    </row>
    <row r="26" spans="1:48" ht="15.6" x14ac:dyDescent="0.3">
      <c r="A26" s="6">
        <v>12</v>
      </c>
      <c r="B26" s="7">
        <v>31</v>
      </c>
      <c r="C26" s="7" t="s">
        <v>384</v>
      </c>
      <c r="D26" s="7" t="s">
        <v>24</v>
      </c>
      <c r="E26" s="7" t="s">
        <v>362</v>
      </c>
      <c r="F26" s="7" t="s">
        <v>256</v>
      </c>
      <c r="G26" s="7" t="s">
        <v>25</v>
      </c>
      <c r="H26" s="6" t="s">
        <v>25</v>
      </c>
      <c r="I26" s="6" t="e">
        <v>#N/A</v>
      </c>
      <c r="J26" s="6" t="e">
        <v>#N/A</v>
      </c>
      <c r="K26" s="6" t="e">
        <v>#N/A</v>
      </c>
      <c r="L26" s="6" t="e">
        <v>#N/A</v>
      </c>
      <c r="M26" s="7" t="e">
        <v>#N/A</v>
      </c>
      <c r="N26" s="6" t="e">
        <v>#N/A</v>
      </c>
      <c r="O26" s="6" t="e">
        <v>#N/A</v>
      </c>
      <c r="P26" s="7" t="e">
        <v>#N/A</v>
      </c>
      <c r="Q26" s="7" t="e">
        <v>#N/A</v>
      </c>
      <c r="R26" s="7" t="e">
        <v>#N/A</v>
      </c>
      <c r="S26" s="7" t="e">
        <v>#N/A</v>
      </c>
      <c r="T26" s="7" t="e">
        <v>#N/A</v>
      </c>
      <c r="U26" s="7" t="e">
        <v>#N/A</v>
      </c>
      <c r="V26" s="6" t="e">
        <v>#N/A</v>
      </c>
      <c r="W26" s="6" t="e">
        <v>#N/A</v>
      </c>
      <c r="X26" s="7" t="e">
        <v>#N/A</v>
      </c>
      <c r="Z26" s="6" t="e">
        <f>VLOOKUP(H26,PortConfigOptions!$B$1:$R$89,2,FALSE)</f>
        <v>#N/A</v>
      </c>
      <c r="AA26" s="6" t="e">
        <f>VLOOKUP(H26,PortConfigOptions!$B$1:$R$89,3,FALSE)</f>
        <v>#N/A</v>
      </c>
      <c r="AB26" s="6" t="e">
        <f>VLOOKUP(H26,PortConfigOptions!$B$1:$R$89,4,FALSE)</f>
        <v>#N/A</v>
      </c>
      <c r="AC26" s="6" t="e">
        <f>VLOOKUP(H26,PortConfigOptions!$B$1:$R$89,5,FALSE)</f>
        <v>#N/A</v>
      </c>
      <c r="AD26" s="6" t="e">
        <f>VLOOKUP(H26,PortConfigOptions!$B$1:$R$89,6,FALSE)</f>
        <v>#N/A</v>
      </c>
      <c r="AE26" s="6" t="e">
        <f>VLOOKUP(H26,PortConfigOptions!$B$1:$R$89,7,FALSE)</f>
        <v>#N/A</v>
      </c>
      <c r="AF26" s="6" t="e">
        <f>VLOOKUP(H26,PortConfigOptions!$B$1:$R$89,8,FALSE)</f>
        <v>#N/A</v>
      </c>
      <c r="AG26" s="6" t="e">
        <f>VLOOKUP(H26,PortConfigOptions!$B$1:$R$89,9,FALSE)</f>
        <v>#N/A</v>
      </c>
      <c r="AH26" s="6" t="e">
        <f>VLOOKUP(H26,PortConfigOptions!$B$1:$R$89,10,FALSE)</f>
        <v>#N/A</v>
      </c>
      <c r="AI26" s="6" t="e">
        <f>VLOOKUP(H26,PortConfigOptions!$B$1:$R$89,11,FALSE)</f>
        <v>#N/A</v>
      </c>
      <c r="AJ26" s="6" t="e">
        <f>VLOOKUP(H26,PortConfigOptions!$B$1:$R$89,12,FALSE)</f>
        <v>#N/A</v>
      </c>
      <c r="AK26" s="6" t="e">
        <f>VLOOKUP(H26,PortConfigOptions!$B$1:$R$89,13,FALSE)</f>
        <v>#N/A</v>
      </c>
      <c r="AL26" s="6" t="e">
        <f>VLOOKUP(H26,PortConfigOptions!$B$1:$R$89,14,FALSE)</f>
        <v>#N/A</v>
      </c>
      <c r="AM26" s="6" t="e">
        <f>VLOOKUP(H26,PortConfigOptions!$B$1:$R$89,15,FALSE)</f>
        <v>#N/A</v>
      </c>
      <c r="AN26" s="6" t="e">
        <f>VLOOKUP(H26,PortConfigOptions!$B$1:$R$89,16,FALSE)</f>
        <v>#N/A</v>
      </c>
      <c r="AO26" s="6" t="e">
        <f>VLOOKUP(H26,PortConfigOptions!$B$1:$R$89,17,FALSE)</f>
        <v>#N/A</v>
      </c>
      <c r="AQ26" s="7" t="s">
        <v>258</v>
      </c>
      <c r="AS26" s="7" t="s">
        <v>270</v>
      </c>
      <c r="AT26" s="7" t="s">
        <v>267</v>
      </c>
      <c r="AU26" s="6" t="s">
        <v>268</v>
      </c>
      <c r="AV26" s="6" t="s">
        <v>25</v>
      </c>
    </row>
    <row r="27" spans="1:48" ht="15.6" x14ac:dyDescent="0.3">
      <c r="A27" s="6">
        <v>13</v>
      </c>
      <c r="B27" s="7">
        <v>30</v>
      </c>
      <c r="C27" s="7" t="s">
        <v>384</v>
      </c>
      <c r="D27" s="7" t="s">
        <v>388</v>
      </c>
      <c r="E27" s="7" t="s">
        <v>400</v>
      </c>
      <c r="F27" s="7" t="s">
        <v>256</v>
      </c>
      <c r="G27" s="7" t="s">
        <v>26</v>
      </c>
      <c r="H27" s="6" t="s">
        <v>26</v>
      </c>
      <c r="I27" s="6" t="e">
        <v>#N/A</v>
      </c>
      <c r="J27" s="6" t="e">
        <v>#N/A</v>
      </c>
      <c r="K27" s="6" t="e">
        <v>#N/A</v>
      </c>
      <c r="L27" s="6" t="e">
        <v>#N/A</v>
      </c>
      <c r="M27" s="7" t="e">
        <v>#N/A</v>
      </c>
      <c r="N27" s="6" t="e">
        <v>#N/A</v>
      </c>
      <c r="O27" s="6" t="e">
        <v>#N/A</v>
      </c>
      <c r="P27" s="7" t="e">
        <v>#N/A</v>
      </c>
      <c r="Q27" s="7" t="e">
        <v>#N/A</v>
      </c>
      <c r="R27" s="7" t="e">
        <v>#N/A</v>
      </c>
      <c r="S27" s="7" t="e">
        <v>#N/A</v>
      </c>
      <c r="T27" s="7" t="e">
        <v>#N/A</v>
      </c>
      <c r="U27" s="7" t="e">
        <v>#N/A</v>
      </c>
      <c r="V27" s="6" t="e">
        <v>#N/A</v>
      </c>
      <c r="W27" s="6" t="e">
        <v>#N/A</v>
      </c>
      <c r="X27" s="7" t="e">
        <v>#N/A</v>
      </c>
      <c r="Z27" s="6" t="e">
        <f>VLOOKUP(H27,PortConfigOptions!$B$1:$R$89,2,FALSE)</f>
        <v>#N/A</v>
      </c>
      <c r="AA27" s="6" t="e">
        <f>VLOOKUP(H27,PortConfigOptions!$B$1:$R$89,3,FALSE)</f>
        <v>#N/A</v>
      </c>
      <c r="AB27" s="6" t="e">
        <f>VLOOKUP(H27,PortConfigOptions!$B$1:$R$89,4,FALSE)</f>
        <v>#N/A</v>
      </c>
      <c r="AC27" s="6" t="e">
        <f>VLOOKUP(H27,PortConfigOptions!$B$1:$R$89,5,FALSE)</f>
        <v>#N/A</v>
      </c>
      <c r="AD27" s="6" t="e">
        <f>VLOOKUP(H27,PortConfigOptions!$B$1:$R$89,6,FALSE)</f>
        <v>#N/A</v>
      </c>
      <c r="AE27" s="6" t="e">
        <f>VLOOKUP(H27,PortConfigOptions!$B$1:$R$89,7,FALSE)</f>
        <v>#N/A</v>
      </c>
      <c r="AF27" s="6" t="e">
        <f>VLOOKUP(H27,PortConfigOptions!$B$1:$R$89,8,FALSE)</f>
        <v>#N/A</v>
      </c>
      <c r="AG27" s="6" t="e">
        <f>VLOOKUP(H27,PortConfigOptions!$B$1:$R$89,9,FALSE)</f>
        <v>#N/A</v>
      </c>
      <c r="AH27" s="6" t="e">
        <f>VLOOKUP(H27,PortConfigOptions!$B$1:$R$89,10,FALSE)</f>
        <v>#N/A</v>
      </c>
      <c r="AI27" s="6" t="e">
        <f>VLOOKUP(H27,PortConfigOptions!$B$1:$R$89,11,FALSE)</f>
        <v>#N/A</v>
      </c>
      <c r="AJ27" s="6" t="e">
        <f>VLOOKUP(H27,PortConfigOptions!$B$1:$R$89,12,FALSE)</f>
        <v>#N/A</v>
      </c>
      <c r="AK27" s="6" t="e">
        <f>VLOOKUP(H27,PortConfigOptions!$B$1:$R$89,13,FALSE)</f>
        <v>#N/A</v>
      </c>
      <c r="AL27" s="6" t="e">
        <f>VLOOKUP(H27,PortConfigOptions!$B$1:$R$89,14,FALSE)</f>
        <v>#N/A</v>
      </c>
      <c r="AM27" s="6" t="e">
        <f>VLOOKUP(H27,PortConfigOptions!$B$1:$R$89,15,FALSE)</f>
        <v>#N/A</v>
      </c>
      <c r="AN27" s="6" t="e">
        <f>VLOOKUP(H27,PortConfigOptions!$B$1:$R$89,16,FALSE)</f>
        <v>#N/A</v>
      </c>
      <c r="AO27" s="6" t="e">
        <f>VLOOKUP(H27,PortConfigOptions!$B$1:$R$89,17,FALSE)</f>
        <v>#N/A</v>
      </c>
      <c r="AQ27" s="7" t="s">
        <v>258</v>
      </c>
      <c r="AS27" s="7" t="s">
        <v>270</v>
      </c>
      <c r="AT27" s="7" t="s">
        <v>267</v>
      </c>
      <c r="AU27" s="6" t="s">
        <v>268</v>
      </c>
      <c r="AV27" s="6" t="s">
        <v>26</v>
      </c>
    </row>
    <row r="28" spans="1:48" ht="15.6" x14ac:dyDescent="0.3">
      <c r="A28" s="6">
        <v>14</v>
      </c>
      <c r="B28" s="7">
        <v>29</v>
      </c>
      <c r="C28" s="7" t="s">
        <v>384</v>
      </c>
      <c r="D28" s="7" t="s">
        <v>381</v>
      </c>
      <c r="E28" s="7" t="s">
        <v>364</v>
      </c>
      <c r="F28" s="7" t="s">
        <v>256</v>
      </c>
      <c r="G28" s="7" t="s">
        <v>27</v>
      </c>
      <c r="H28" s="6" t="s">
        <v>27</v>
      </c>
      <c r="I28" s="6" t="e">
        <v>#N/A</v>
      </c>
      <c r="J28" s="6" t="e">
        <v>#N/A</v>
      </c>
      <c r="K28" s="6" t="e">
        <v>#N/A</v>
      </c>
      <c r="L28" s="6" t="e">
        <v>#N/A</v>
      </c>
      <c r="M28" s="7" t="e">
        <v>#N/A</v>
      </c>
      <c r="N28" s="6" t="e">
        <v>#N/A</v>
      </c>
      <c r="O28" s="6" t="e">
        <v>#N/A</v>
      </c>
      <c r="P28" s="7" t="e">
        <v>#N/A</v>
      </c>
      <c r="Q28" s="7" t="e">
        <v>#N/A</v>
      </c>
      <c r="R28" s="7" t="e">
        <v>#N/A</v>
      </c>
      <c r="S28" s="7" t="e">
        <v>#N/A</v>
      </c>
      <c r="T28" s="7" t="e">
        <v>#N/A</v>
      </c>
      <c r="U28" s="7" t="e">
        <v>#N/A</v>
      </c>
      <c r="V28" s="6" t="e">
        <v>#N/A</v>
      </c>
      <c r="W28" s="6" t="e">
        <v>#N/A</v>
      </c>
      <c r="X28" s="7" t="e">
        <v>#N/A</v>
      </c>
      <c r="Z28" s="6" t="e">
        <f>VLOOKUP(H28,PortConfigOptions!$B$1:$R$89,2,FALSE)</f>
        <v>#N/A</v>
      </c>
      <c r="AA28" s="6" t="e">
        <f>VLOOKUP(H28,PortConfigOptions!$B$1:$R$89,3,FALSE)</f>
        <v>#N/A</v>
      </c>
      <c r="AB28" s="6" t="e">
        <f>VLOOKUP(H28,PortConfigOptions!$B$1:$R$89,4,FALSE)</f>
        <v>#N/A</v>
      </c>
      <c r="AC28" s="6" t="e">
        <f>VLOOKUP(H28,PortConfigOptions!$B$1:$R$89,5,FALSE)</f>
        <v>#N/A</v>
      </c>
      <c r="AD28" s="6" t="e">
        <f>VLOOKUP(H28,PortConfigOptions!$B$1:$R$89,6,FALSE)</f>
        <v>#N/A</v>
      </c>
      <c r="AE28" s="6" t="e">
        <f>VLOOKUP(H28,PortConfigOptions!$B$1:$R$89,7,FALSE)</f>
        <v>#N/A</v>
      </c>
      <c r="AF28" s="6" t="e">
        <f>VLOOKUP(H28,PortConfigOptions!$B$1:$R$89,8,FALSE)</f>
        <v>#N/A</v>
      </c>
      <c r="AG28" s="6" t="e">
        <f>VLOOKUP(H28,PortConfigOptions!$B$1:$R$89,9,FALSE)</f>
        <v>#N/A</v>
      </c>
      <c r="AH28" s="6" t="e">
        <f>VLOOKUP(H28,PortConfigOptions!$B$1:$R$89,10,FALSE)</f>
        <v>#N/A</v>
      </c>
      <c r="AI28" s="6" t="e">
        <f>VLOOKUP(H28,PortConfigOptions!$B$1:$R$89,11,FALSE)</f>
        <v>#N/A</v>
      </c>
      <c r="AJ28" s="6" t="e">
        <f>VLOOKUP(H28,PortConfigOptions!$B$1:$R$89,12,FALSE)</f>
        <v>#N/A</v>
      </c>
      <c r="AK28" s="6" t="e">
        <f>VLOOKUP(H28,PortConfigOptions!$B$1:$R$89,13,FALSE)</f>
        <v>#N/A</v>
      </c>
      <c r="AL28" s="6" t="e">
        <f>VLOOKUP(H28,PortConfigOptions!$B$1:$R$89,14,FALSE)</f>
        <v>#N/A</v>
      </c>
      <c r="AM28" s="6" t="e">
        <f>VLOOKUP(H28,PortConfigOptions!$B$1:$R$89,15,FALSE)</f>
        <v>#N/A</v>
      </c>
      <c r="AN28" s="6" t="e">
        <f>VLOOKUP(H28,PortConfigOptions!$B$1:$R$89,16,FALSE)</f>
        <v>#N/A</v>
      </c>
      <c r="AO28" s="6" t="e">
        <f>VLOOKUP(H28,PortConfigOptions!$B$1:$R$89,17,FALSE)</f>
        <v>#N/A</v>
      </c>
      <c r="AQ28" s="7" t="s">
        <v>258</v>
      </c>
      <c r="AS28" s="7" t="s">
        <v>270</v>
      </c>
      <c r="AT28" s="7" t="s">
        <v>267</v>
      </c>
      <c r="AU28" s="6" t="s">
        <v>268</v>
      </c>
      <c r="AV28" s="6" t="s">
        <v>27</v>
      </c>
    </row>
    <row r="29" spans="1:48" ht="15.6" x14ac:dyDescent="0.3">
      <c r="A29" s="6">
        <v>15</v>
      </c>
      <c r="B29" s="7">
        <v>28</v>
      </c>
      <c r="C29" s="7" t="s">
        <v>384</v>
      </c>
      <c r="D29" s="7" t="s">
        <v>382</v>
      </c>
      <c r="E29" s="7" t="s">
        <v>363</v>
      </c>
      <c r="F29" s="7" t="s">
        <v>256</v>
      </c>
      <c r="G29" s="7" t="s">
        <v>28</v>
      </c>
      <c r="H29" s="6" t="s">
        <v>28</v>
      </c>
      <c r="I29" s="6" t="e">
        <v>#N/A</v>
      </c>
      <c r="J29" s="6" t="e">
        <v>#N/A</v>
      </c>
      <c r="K29" s="6" t="e">
        <v>#N/A</v>
      </c>
      <c r="L29" s="6" t="e">
        <v>#N/A</v>
      </c>
      <c r="M29" s="7" t="e">
        <v>#N/A</v>
      </c>
      <c r="N29" s="6" t="e">
        <v>#N/A</v>
      </c>
      <c r="O29" s="6" t="e">
        <v>#N/A</v>
      </c>
      <c r="P29" s="7" t="e">
        <v>#N/A</v>
      </c>
      <c r="Q29" s="7" t="e">
        <v>#N/A</v>
      </c>
      <c r="R29" s="7" t="e">
        <v>#N/A</v>
      </c>
      <c r="S29" s="7" t="e">
        <v>#N/A</v>
      </c>
      <c r="T29" s="7" t="e">
        <v>#N/A</v>
      </c>
      <c r="U29" s="7" t="e">
        <v>#N/A</v>
      </c>
      <c r="V29" s="6" t="e">
        <v>#N/A</v>
      </c>
      <c r="W29" s="6" t="e">
        <v>#N/A</v>
      </c>
      <c r="X29" s="7" t="e">
        <v>#N/A</v>
      </c>
      <c r="Z29" s="6" t="e">
        <f>VLOOKUP(H29,PortConfigOptions!$B$1:$R$89,2,FALSE)</f>
        <v>#N/A</v>
      </c>
      <c r="AA29" s="6" t="e">
        <f>VLOOKUP(H29,PortConfigOptions!$B$1:$R$89,3,FALSE)</f>
        <v>#N/A</v>
      </c>
      <c r="AB29" s="6" t="e">
        <f>VLOOKUP(H29,PortConfigOptions!$B$1:$R$89,4,FALSE)</f>
        <v>#N/A</v>
      </c>
      <c r="AC29" s="6" t="e">
        <f>VLOOKUP(H29,PortConfigOptions!$B$1:$R$89,5,FALSE)</f>
        <v>#N/A</v>
      </c>
      <c r="AD29" s="6" t="e">
        <f>VLOOKUP(H29,PortConfigOptions!$B$1:$R$89,6,FALSE)</f>
        <v>#N/A</v>
      </c>
      <c r="AE29" s="6" t="e">
        <f>VLOOKUP(H29,PortConfigOptions!$B$1:$R$89,7,FALSE)</f>
        <v>#N/A</v>
      </c>
      <c r="AF29" s="6" t="e">
        <f>VLOOKUP(H29,PortConfigOptions!$B$1:$R$89,8,FALSE)</f>
        <v>#N/A</v>
      </c>
      <c r="AG29" s="6" t="e">
        <f>VLOOKUP(H29,PortConfigOptions!$B$1:$R$89,9,FALSE)</f>
        <v>#N/A</v>
      </c>
      <c r="AH29" s="6" t="e">
        <f>VLOOKUP(H29,PortConfigOptions!$B$1:$R$89,10,FALSE)</f>
        <v>#N/A</v>
      </c>
      <c r="AI29" s="6" t="e">
        <f>VLOOKUP(H29,PortConfigOptions!$B$1:$R$89,11,FALSE)</f>
        <v>#N/A</v>
      </c>
      <c r="AJ29" s="6" t="e">
        <f>VLOOKUP(H29,PortConfigOptions!$B$1:$R$89,12,FALSE)</f>
        <v>#N/A</v>
      </c>
      <c r="AK29" s="6" t="e">
        <f>VLOOKUP(H29,PortConfigOptions!$B$1:$R$89,13,FALSE)</f>
        <v>#N/A</v>
      </c>
      <c r="AL29" s="6" t="e">
        <f>VLOOKUP(H29,PortConfigOptions!$B$1:$R$89,14,FALSE)</f>
        <v>#N/A</v>
      </c>
      <c r="AM29" s="6" t="e">
        <f>VLOOKUP(H29,PortConfigOptions!$B$1:$R$89,15,FALSE)</f>
        <v>#N/A</v>
      </c>
      <c r="AN29" s="6" t="e">
        <f>VLOOKUP(H29,PortConfigOptions!$B$1:$R$89,16,FALSE)</f>
        <v>#N/A</v>
      </c>
      <c r="AO29" s="6" t="e">
        <f>VLOOKUP(H29,PortConfigOptions!$B$1:$R$89,17,FALSE)</f>
        <v>#N/A</v>
      </c>
      <c r="AQ29" s="7" t="s">
        <v>258</v>
      </c>
      <c r="AS29" s="7" t="s">
        <v>270</v>
      </c>
      <c r="AT29" s="7" t="s">
        <v>267</v>
      </c>
      <c r="AU29" s="6" t="s">
        <v>268</v>
      </c>
      <c r="AV29" s="6" t="s">
        <v>28</v>
      </c>
    </row>
    <row r="30" spans="1:48" ht="15.6" x14ac:dyDescent="0.3">
      <c r="A30" s="6">
        <v>16</v>
      </c>
      <c r="B30" s="7">
        <v>27</v>
      </c>
      <c r="C30" s="7" t="s">
        <v>271</v>
      </c>
      <c r="D30" s="7" t="s">
        <v>6</v>
      </c>
      <c r="E30" s="7" t="s">
        <v>6</v>
      </c>
      <c r="F30" s="7" t="s">
        <v>29</v>
      </c>
      <c r="G30" s="7" t="s">
        <v>6</v>
      </c>
      <c r="H30" s="6" t="s">
        <v>29</v>
      </c>
      <c r="I30" s="6" t="e">
        <v>#N/A</v>
      </c>
      <c r="J30" s="6" t="e">
        <v>#N/A</v>
      </c>
      <c r="K30" s="6" t="e">
        <v>#N/A</v>
      </c>
      <c r="L30" s="6" t="e">
        <v>#N/A</v>
      </c>
      <c r="M30" s="7" t="e">
        <v>#N/A</v>
      </c>
      <c r="N30" s="6" t="e">
        <v>#N/A</v>
      </c>
      <c r="O30" s="6" t="e">
        <v>#N/A</v>
      </c>
      <c r="P30" s="7" t="e">
        <v>#N/A</v>
      </c>
      <c r="Q30" s="7" t="e">
        <v>#N/A</v>
      </c>
      <c r="R30" s="7" t="e">
        <v>#N/A</v>
      </c>
      <c r="S30" s="7" t="e">
        <v>#N/A</v>
      </c>
      <c r="T30" s="7" t="e">
        <v>#N/A</v>
      </c>
      <c r="U30" s="7" t="e">
        <v>#N/A</v>
      </c>
      <c r="V30" s="6" t="e">
        <v>#N/A</v>
      </c>
      <c r="W30" s="6" t="e">
        <v>#N/A</v>
      </c>
      <c r="X30" s="7" t="e">
        <v>#N/A</v>
      </c>
      <c r="Z30" s="6" t="e">
        <f>VLOOKUP(H30,PortConfigOptions!$B$1:$R$89,2,FALSE)</f>
        <v>#N/A</v>
      </c>
      <c r="AA30" s="6" t="e">
        <f>VLOOKUP(H30,PortConfigOptions!$B$1:$R$89,3,FALSE)</f>
        <v>#N/A</v>
      </c>
      <c r="AB30" s="6" t="e">
        <f>VLOOKUP(H30,PortConfigOptions!$B$1:$R$89,4,FALSE)</f>
        <v>#N/A</v>
      </c>
      <c r="AC30" s="6" t="e">
        <f>VLOOKUP(H30,PortConfigOptions!$B$1:$R$89,5,FALSE)</f>
        <v>#N/A</v>
      </c>
      <c r="AD30" s="6" t="e">
        <f>VLOOKUP(H30,PortConfigOptions!$B$1:$R$89,6,FALSE)</f>
        <v>#N/A</v>
      </c>
      <c r="AE30" s="6" t="e">
        <f>VLOOKUP(H30,PortConfigOptions!$B$1:$R$89,7,FALSE)</f>
        <v>#N/A</v>
      </c>
      <c r="AF30" s="6" t="e">
        <f>VLOOKUP(H30,PortConfigOptions!$B$1:$R$89,8,FALSE)</f>
        <v>#N/A</v>
      </c>
      <c r="AG30" s="6" t="e">
        <f>VLOOKUP(H30,PortConfigOptions!$B$1:$R$89,9,FALSE)</f>
        <v>#N/A</v>
      </c>
      <c r="AH30" s="6" t="e">
        <f>VLOOKUP(H30,PortConfigOptions!$B$1:$R$89,10,FALSE)</f>
        <v>#N/A</v>
      </c>
      <c r="AI30" s="6" t="e">
        <f>VLOOKUP(H30,PortConfigOptions!$B$1:$R$89,11,FALSE)</f>
        <v>#N/A</v>
      </c>
      <c r="AJ30" s="6" t="e">
        <f>VLOOKUP(H30,PortConfigOptions!$B$1:$R$89,12,FALSE)</f>
        <v>#N/A</v>
      </c>
      <c r="AK30" s="6" t="e">
        <f>VLOOKUP(H30,PortConfigOptions!$B$1:$R$89,13,FALSE)</f>
        <v>#N/A</v>
      </c>
      <c r="AL30" s="6" t="e">
        <f>VLOOKUP(H30,PortConfigOptions!$B$1:$R$89,14,FALSE)</f>
        <v>#N/A</v>
      </c>
      <c r="AM30" s="6" t="e">
        <f>VLOOKUP(H30,PortConfigOptions!$B$1:$R$89,15,FALSE)</f>
        <v>#N/A</v>
      </c>
      <c r="AN30" s="6" t="e">
        <f>VLOOKUP(H30,PortConfigOptions!$B$1:$R$89,16,FALSE)</f>
        <v>#N/A</v>
      </c>
      <c r="AO30" s="6" t="e">
        <f>VLOOKUP(H30,PortConfigOptions!$B$1:$R$89,17,FALSE)</f>
        <v>#N/A</v>
      </c>
      <c r="AQ30" s="7" t="s">
        <v>258</v>
      </c>
      <c r="AS30" s="7" t="s">
        <v>270</v>
      </c>
      <c r="AT30" s="7" t="s">
        <v>267</v>
      </c>
      <c r="AU30" s="6" t="s">
        <v>268</v>
      </c>
      <c r="AV30" s="6" t="s">
        <v>29</v>
      </c>
    </row>
    <row r="31" spans="1:48" ht="15.6" x14ac:dyDescent="0.3">
      <c r="A31" s="6">
        <v>17</v>
      </c>
      <c r="B31" s="7">
        <v>26</v>
      </c>
      <c r="C31" s="7" t="s">
        <v>271</v>
      </c>
      <c r="D31" s="7" t="s">
        <v>6</v>
      </c>
      <c r="E31" s="7" t="s">
        <v>6</v>
      </c>
      <c r="F31" s="7" t="s">
        <v>30</v>
      </c>
      <c r="G31" s="7" t="s">
        <v>6</v>
      </c>
      <c r="H31" s="6" t="s">
        <v>30</v>
      </c>
      <c r="I31" s="6" t="e">
        <v>#N/A</v>
      </c>
      <c r="J31" s="6" t="e">
        <v>#N/A</v>
      </c>
      <c r="K31" s="6" t="e">
        <v>#N/A</v>
      </c>
      <c r="L31" s="6" t="e">
        <v>#N/A</v>
      </c>
      <c r="M31" s="7" t="e">
        <v>#N/A</v>
      </c>
      <c r="N31" s="6" t="e">
        <v>#N/A</v>
      </c>
      <c r="O31" s="6" t="e">
        <v>#N/A</v>
      </c>
      <c r="P31" s="7" t="e">
        <v>#N/A</v>
      </c>
      <c r="Q31" s="7" t="e">
        <v>#N/A</v>
      </c>
      <c r="R31" s="7" t="e">
        <v>#N/A</v>
      </c>
      <c r="S31" s="7" t="e">
        <v>#N/A</v>
      </c>
      <c r="T31" s="7" t="e">
        <v>#N/A</v>
      </c>
      <c r="U31" s="7" t="e">
        <v>#N/A</v>
      </c>
      <c r="V31" s="6" t="e">
        <v>#N/A</v>
      </c>
      <c r="W31" s="6" t="e">
        <v>#N/A</v>
      </c>
      <c r="X31" s="7" t="e">
        <v>#N/A</v>
      </c>
      <c r="Z31" s="6" t="e">
        <f>VLOOKUP(H31,PortConfigOptions!$B$1:$R$89,2,FALSE)</f>
        <v>#N/A</v>
      </c>
      <c r="AA31" s="6" t="e">
        <f>VLOOKUP(H31,PortConfigOptions!$B$1:$R$89,3,FALSE)</f>
        <v>#N/A</v>
      </c>
      <c r="AB31" s="6" t="e">
        <f>VLOOKUP(H31,PortConfigOptions!$B$1:$R$89,4,FALSE)</f>
        <v>#N/A</v>
      </c>
      <c r="AC31" s="6" t="e">
        <f>VLOOKUP(H31,PortConfigOptions!$B$1:$R$89,5,FALSE)</f>
        <v>#N/A</v>
      </c>
      <c r="AD31" s="6" t="e">
        <f>VLOOKUP(H31,PortConfigOptions!$B$1:$R$89,6,FALSE)</f>
        <v>#N/A</v>
      </c>
      <c r="AE31" s="6" t="e">
        <f>VLOOKUP(H31,PortConfigOptions!$B$1:$R$89,7,FALSE)</f>
        <v>#N/A</v>
      </c>
      <c r="AF31" s="6" t="e">
        <f>VLOOKUP(H31,PortConfigOptions!$B$1:$R$89,8,FALSE)</f>
        <v>#N/A</v>
      </c>
      <c r="AG31" s="6" t="e">
        <f>VLOOKUP(H31,PortConfigOptions!$B$1:$R$89,9,FALSE)</f>
        <v>#N/A</v>
      </c>
      <c r="AH31" s="6" t="e">
        <f>VLOOKUP(H31,PortConfigOptions!$B$1:$R$89,10,FALSE)</f>
        <v>#N/A</v>
      </c>
      <c r="AI31" s="6" t="e">
        <f>VLOOKUP(H31,PortConfigOptions!$B$1:$R$89,11,FALSE)</f>
        <v>#N/A</v>
      </c>
      <c r="AJ31" s="6" t="e">
        <f>VLOOKUP(H31,PortConfigOptions!$B$1:$R$89,12,FALSE)</f>
        <v>#N/A</v>
      </c>
      <c r="AK31" s="6" t="e">
        <f>VLOOKUP(H31,PortConfigOptions!$B$1:$R$89,13,FALSE)</f>
        <v>#N/A</v>
      </c>
      <c r="AL31" s="6" t="e">
        <f>VLOOKUP(H31,PortConfigOptions!$B$1:$R$89,14,FALSE)</f>
        <v>#N/A</v>
      </c>
      <c r="AM31" s="6" t="e">
        <f>VLOOKUP(H31,PortConfigOptions!$B$1:$R$89,15,FALSE)</f>
        <v>#N/A</v>
      </c>
      <c r="AN31" s="6" t="e">
        <f>VLOOKUP(H31,PortConfigOptions!$B$1:$R$89,16,FALSE)</f>
        <v>#N/A</v>
      </c>
      <c r="AO31" s="6" t="e">
        <f>VLOOKUP(H31,PortConfigOptions!$B$1:$R$89,17,FALSE)</f>
        <v>#N/A</v>
      </c>
      <c r="AQ31" s="7" t="s">
        <v>258</v>
      </c>
      <c r="AS31" s="7" t="s">
        <v>270</v>
      </c>
      <c r="AT31" s="7" t="s">
        <v>267</v>
      </c>
      <c r="AU31" s="6" t="s">
        <v>268</v>
      </c>
      <c r="AV31" s="6" t="s">
        <v>30</v>
      </c>
    </row>
    <row r="32" spans="1:48" ht="15.6" x14ac:dyDescent="0.3">
      <c r="A32" s="6">
        <v>18</v>
      </c>
      <c r="B32" s="7">
        <v>25</v>
      </c>
      <c r="C32" s="7" t="s">
        <v>271</v>
      </c>
      <c r="D32" s="7" t="s">
        <v>6</v>
      </c>
      <c r="E32" s="7" t="s">
        <v>6</v>
      </c>
      <c r="F32" s="7" t="s">
        <v>31</v>
      </c>
      <c r="G32" s="7" t="s">
        <v>6</v>
      </c>
      <c r="H32" s="6" t="s">
        <v>31</v>
      </c>
      <c r="I32" s="6" t="e">
        <v>#N/A</v>
      </c>
      <c r="J32" s="6" t="e">
        <v>#N/A</v>
      </c>
      <c r="K32" s="6" t="e">
        <v>#N/A</v>
      </c>
      <c r="L32" s="6" t="e">
        <v>#N/A</v>
      </c>
      <c r="M32" s="7" t="e">
        <v>#N/A</v>
      </c>
      <c r="N32" s="6" t="e">
        <v>#N/A</v>
      </c>
      <c r="O32" s="6" t="e">
        <v>#N/A</v>
      </c>
      <c r="P32" s="7" t="e">
        <v>#N/A</v>
      </c>
      <c r="Q32" s="7" t="e">
        <v>#N/A</v>
      </c>
      <c r="R32" s="7" t="e">
        <v>#N/A</v>
      </c>
      <c r="S32" s="7" t="e">
        <v>#N/A</v>
      </c>
      <c r="T32" s="7" t="e">
        <v>#N/A</v>
      </c>
      <c r="U32" s="7" t="e">
        <v>#N/A</v>
      </c>
      <c r="V32" s="6" t="e">
        <v>#N/A</v>
      </c>
      <c r="W32" s="6" t="e">
        <v>#N/A</v>
      </c>
      <c r="X32" s="7" t="e">
        <v>#N/A</v>
      </c>
      <c r="Z32" s="6" t="e">
        <f>VLOOKUP(H32,PortConfigOptions!$B$1:$R$89,2,FALSE)</f>
        <v>#N/A</v>
      </c>
      <c r="AA32" s="6" t="e">
        <f>VLOOKUP(H32,PortConfigOptions!$B$1:$R$89,3,FALSE)</f>
        <v>#N/A</v>
      </c>
      <c r="AB32" s="6" t="e">
        <f>VLOOKUP(H32,PortConfigOptions!$B$1:$R$89,4,FALSE)</f>
        <v>#N/A</v>
      </c>
      <c r="AC32" s="6" t="e">
        <f>VLOOKUP(H32,PortConfigOptions!$B$1:$R$89,5,FALSE)</f>
        <v>#N/A</v>
      </c>
      <c r="AD32" s="6" t="e">
        <f>VLOOKUP(H32,PortConfigOptions!$B$1:$R$89,6,FALSE)</f>
        <v>#N/A</v>
      </c>
      <c r="AE32" s="6" t="e">
        <f>VLOOKUP(H32,PortConfigOptions!$B$1:$R$89,7,FALSE)</f>
        <v>#N/A</v>
      </c>
      <c r="AF32" s="6" t="e">
        <f>VLOOKUP(H32,PortConfigOptions!$B$1:$R$89,8,FALSE)</f>
        <v>#N/A</v>
      </c>
      <c r="AG32" s="6" t="e">
        <f>VLOOKUP(H32,PortConfigOptions!$B$1:$R$89,9,FALSE)</f>
        <v>#N/A</v>
      </c>
      <c r="AH32" s="6" t="e">
        <f>VLOOKUP(H32,PortConfigOptions!$B$1:$R$89,10,FALSE)</f>
        <v>#N/A</v>
      </c>
      <c r="AI32" s="6" t="e">
        <f>VLOOKUP(H32,PortConfigOptions!$B$1:$R$89,11,FALSE)</f>
        <v>#N/A</v>
      </c>
      <c r="AJ32" s="6" t="e">
        <f>VLOOKUP(H32,PortConfigOptions!$B$1:$R$89,12,FALSE)</f>
        <v>#N/A</v>
      </c>
      <c r="AK32" s="6" t="e">
        <f>VLOOKUP(H32,PortConfigOptions!$B$1:$R$89,13,FALSE)</f>
        <v>#N/A</v>
      </c>
      <c r="AL32" s="6" t="e">
        <f>VLOOKUP(H32,PortConfigOptions!$B$1:$R$89,14,FALSE)</f>
        <v>#N/A</v>
      </c>
      <c r="AM32" s="6" t="e">
        <f>VLOOKUP(H32,PortConfigOptions!$B$1:$R$89,15,FALSE)</f>
        <v>#N/A</v>
      </c>
      <c r="AN32" s="6" t="e">
        <f>VLOOKUP(H32,PortConfigOptions!$B$1:$R$89,16,FALSE)</f>
        <v>#N/A</v>
      </c>
      <c r="AO32" s="6" t="e">
        <f>VLOOKUP(H32,PortConfigOptions!$B$1:$R$89,17,FALSE)</f>
        <v>#N/A</v>
      </c>
      <c r="AQ32" s="7" t="s">
        <v>258</v>
      </c>
      <c r="AS32" s="7" t="s">
        <v>270</v>
      </c>
      <c r="AT32" s="7" t="s">
        <v>267</v>
      </c>
      <c r="AU32" s="6" t="s">
        <v>268</v>
      </c>
      <c r="AV32" s="6" t="s">
        <v>31</v>
      </c>
    </row>
    <row r="33" spans="1:48" ht="15.6" x14ac:dyDescent="0.3">
      <c r="A33" s="6">
        <v>19</v>
      </c>
      <c r="B33" s="7">
        <v>24</v>
      </c>
      <c r="C33" s="7" t="s">
        <v>384</v>
      </c>
      <c r="D33" s="7" t="s">
        <v>32</v>
      </c>
      <c r="E33" s="7" t="s">
        <v>353</v>
      </c>
      <c r="F33" s="7" t="s">
        <v>256</v>
      </c>
      <c r="G33" s="7" t="s">
        <v>33</v>
      </c>
      <c r="H33" s="6" t="s">
        <v>33</v>
      </c>
      <c r="I33" s="6" t="e">
        <v>#N/A</v>
      </c>
      <c r="J33" s="6" t="e">
        <v>#N/A</v>
      </c>
      <c r="K33" s="6" t="e">
        <v>#N/A</v>
      </c>
      <c r="L33" s="6" t="e">
        <v>#N/A</v>
      </c>
      <c r="M33" s="7" t="e">
        <v>#N/A</v>
      </c>
      <c r="N33" s="6" t="e">
        <v>#N/A</v>
      </c>
      <c r="O33" s="6" t="e">
        <v>#N/A</v>
      </c>
      <c r="P33" s="7" t="e">
        <v>#N/A</v>
      </c>
      <c r="Q33" s="7" t="e">
        <v>#N/A</v>
      </c>
      <c r="R33" s="7" t="e">
        <v>#N/A</v>
      </c>
      <c r="S33" s="7" t="e">
        <v>#N/A</v>
      </c>
      <c r="T33" s="7" t="e">
        <v>#N/A</v>
      </c>
      <c r="U33" s="7" t="e">
        <v>#N/A</v>
      </c>
      <c r="V33" s="6" t="e">
        <v>#N/A</v>
      </c>
      <c r="W33" s="6" t="e">
        <v>#N/A</v>
      </c>
      <c r="X33" s="7" t="e">
        <v>#N/A</v>
      </c>
      <c r="Z33" s="6" t="e">
        <f>VLOOKUP(H33,PortConfigOptions!$B$1:$R$89,2,FALSE)</f>
        <v>#N/A</v>
      </c>
      <c r="AA33" s="6" t="e">
        <f>VLOOKUP(H33,PortConfigOptions!$B$1:$R$89,3,FALSE)</f>
        <v>#N/A</v>
      </c>
      <c r="AB33" s="6" t="e">
        <f>VLOOKUP(H33,PortConfigOptions!$B$1:$R$89,4,FALSE)</f>
        <v>#N/A</v>
      </c>
      <c r="AC33" s="6" t="e">
        <f>VLOOKUP(H33,PortConfigOptions!$B$1:$R$89,5,FALSE)</f>
        <v>#N/A</v>
      </c>
      <c r="AD33" s="6" t="e">
        <f>VLOOKUP(H33,PortConfigOptions!$B$1:$R$89,6,FALSE)</f>
        <v>#N/A</v>
      </c>
      <c r="AE33" s="6" t="e">
        <f>VLOOKUP(H33,PortConfigOptions!$B$1:$R$89,7,FALSE)</f>
        <v>#N/A</v>
      </c>
      <c r="AF33" s="6" t="e">
        <f>VLOOKUP(H33,PortConfigOptions!$B$1:$R$89,8,FALSE)</f>
        <v>#N/A</v>
      </c>
      <c r="AG33" s="6" t="e">
        <f>VLOOKUP(H33,PortConfigOptions!$B$1:$R$89,9,FALSE)</f>
        <v>#N/A</v>
      </c>
      <c r="AH33" s="6" t="e">
        <f>VLOOKUP(H33,PortConfigOptions!$B$1:$R$89,10,FALSE)</f>
        <v>#N/A</v>
      </c>
      <c r="AI33" s="6" t="e">
        <f>VLOOKUP(H33,PortConfigOptions!$B$1:$R$89,11,FALSE)</f>
        <v>#N/A</v>
      </c>
      <c r="AJ33" s="6" t="e">
        <f>VLOOKUP(H33,PortConfigOptions!$B$1:$R$89,12,FALSE)</f>
        <v>#N/A</v>
      </c>
      <c r="AK33" s="6" t="e">
        <f>VLOOKUP(H33,PortConfigOptions!$B$1:$R$89,13,FALSE)</f>
        <v>#N/A</v>
      </c>
      <c r="AL33" s="6" t="e">
        <f>VLOOKUP(H33,PortConfigOptions!$B$1:$R$89,14,FALSE)</f>
        <v>#N/A</v>
      </c>
      <c r="AM33" s="6" t="e">
        <f>VLOOKUP(H33,PortConfigOptions!$B$1:$R$89,15,FALSE)</f>
        <v>#N/A</v>
      </c>
      <c r="AN33" s="6" t="e">
        <f>VLOOKUP(H33,PortConfigOptions!$B$1:$R$89,16,FALSE)</f>
        <v>#N/A</v>
      </c>
      <c r="AO33" s="6" t="e">
        <f>VLOOKUP(H33,PortConfigOptions!$B$1:$R$89,17,FALSE)</f>
        <v>#N/A</v>
      </c>
      <c r="AQ33" s="7" t="s">
        <v>258</v>
      </c>
      <c r="AS33" s="7" t="s">
        <v>270</v>
      </c>
      <c r="AT33" s="7" t="s">
        <v>267</v>
      </c>
      <c r="AU33" s="6" t="s">
        <v>268</v>
      </c>
      <c r="AV33" s="6" t="s">
        <v>33</v>
      </c>
    </row>
    <row r="34" spans="1:48" ht="15.6" x14ac:dyDescent="0.3">
      <c r="A34" s="6">
        <v>125</v>
      </c>
      <c r="B34" s="7">
        <v>82</v>
      </c>
      <c r="D34" s="7" t="s">
        <v>220</v>
      </c>
      <c r="E34" s="7" t="s">
        <v>6</v>
      </c>
      <c r="F34" s="7" t="s">
        <v>251</v>
      </c>
      <c r="G34" s="7" t="s">
        <v>220</v>
      </c>
      <c r="H34" s="6" t="s">
        <v>220</v>
      </c>
      <c r="I34" s="6" t="e">
        <v>#N/A</v>
      </c>
      <c r="J34" s="6" t="e">
        <v>#N/A</v>
      </c>
      <c r="K34" s="6" t="e">
        <v>#N/A</v>
      </c>
      <c r="L34" s="6" t="e">
        <v>#N/A</v>
      </c>
      <c r="M34" s="7" t="e">
        <v>#N/A</v>
      </c>
      <c r="N34" s="6" t="e">
        <v>#N/A</v>
      </c>
      <c r="O34" s="6" t="e">
        <v>#N/A</v>
      </c>
      <c r="P34" s="7" t="e">
        <v>#N/A</v>
      </c>
      <c r="Q34" s="7" t="e">
        <v>#N/A</v>
      </c>
      <c r="R34" s="7" t="e">
        <v>#N/A</v>
      </c>
      <c r="S34" s="7" t="e">
        <v>#N/A</v>
      </c>
      <c r="T34" s="7" t="e">
        <v>#N/A</v>
      </c>
      <c r="U34" s="7" t="e">
        <v>#N/A</v>
      </c>
      <c r="V34" s="6" t="e">
        <v>#N/A</v>
      </c>
      <c r="W34" s="6" t="e">
        <v>#N/A</v>
      </c>
      <c r="X34" s="7" t="e">
        <v>#N/A</v>
      </c>
      <c r="Z34" s="6" t="e">
        <f>VLOOKUP(H34,PortConfigOptions!$B$1:$R$89,2,FALSE)</f>
        <v>#N/A</v>
      </c>
      <c r="AA34" s="6" t="e">
        <f>VLOOKUP(H34,PortConfigOptions!$B$1:$R$89,3,FALSE)</f>
        <v>#N/A</v>
      </c>
      <c r="AB34" s="6" t="e">
        <f>VLOOKUP(H34,PortConfigOptions!$B$1:$R$89,4,FALSE)</f>
        <v>#N/A</v>
      </c>
      <c r="AC34" s="6" t="e">
        <f>VLOOKUP(H34,PortConfigOptions!$B$1:$R$89,5,FALSE)</f>
        <v>#N/A</v>
      </c>
      <c r="AD34" s="6" t="e">
        <f>VLOOKUP(H34,PortConfigOptions!$B$1:$R$89,6,FALSE)</f>
        <v>#N/A</v>
      </c>
      <c r="AE34" s="6" t="e">
        <f>VLOOKUP(H34,PortConfigOptions!$B$1:$R$89,7,FALSE)</f>
        <v>#N/A</v>
      </c>
      <c r="AF34" s="6" t="e">
        <f>VLOOKUP(H34,PortConfigOptions!$B$1:$R$89,8,FALSE)</f>
        <v>#N/A</v>
      </c>
      <c r="AG34" s="6" t="e">
        <f>VLOOKUP(H34,PortConfigOptions!$B$1:$R$89,9,FALSE)</f>
        <v>#N/A</v>
      </c>
      <c r="AH34" s="6" t="e">
        <f>VLOOKUP(H34,PortConfigOptions!$B$1:$R$89,10,FALSE)</f>
        <v>#N/A</v>
      </c>
      <c r="AI34" s="6" t="e">
        <f>VLOOKUP(H34,PortConfigOptions!$B$1:$R$89,11,FALSE)</f>
        <v>#N/A</v>
      </c>
      <c r="AJ34" s="6" t="e">
        <f>VLOOKUP(H34,PortConfigOptions!$B$1:$R$89,12,FALSE)</f>
        <v>#N/A</v>
      </c>
      <c r="AK34" s="6" t="e">
        <f>VLOOKUP(H34,PortConfigOptions!$B$1:$R$89,13,FALSE)</f>
        <v>#N/A</v>
      </c>
      <c r="AL34" s="6" t="e">
        <f>VLOOKUP(H34,PortConfigOptions!$B$1:$R$89,14,FALSE)</f>
        <v>#N/A</v>
      </c>
      <c r="AM34" s="6" t="e">
        <f>VLOOKUP(H34,PortConfigOptions!$B$1:$R$89,15,FALSE)</f>
        <v>#N/A</v>
      </c>
      <c r="AN34" s="6" t="e">
        <f>VLOOKUP(H34,PortConfigOptions!$B$1:$R$89,16,FALSE)</f>
        <v>#N/A</v>
      </c>
      <c r="AO34" s="6" t="e">
        <f>VLOOKUP(H34,PortConfigOptions!$B$1:$R$89,17,FALSE)</f>
        <v>#N/A</v>
      </c>
      <c r="AS34" s="7" t="s">
        <v>272</v>
      </c>
      <c r="AV34" s="6" t="s">
        <v>220</v>
      </c>
    </row>
    <row r="35" spans="1:48" ht="15.6" x14ac:dyDescent="0.3">
      <c r="A35" s="6">
        <v>76</v>
      </c>
      <c r="B35" s="7">
        <v>144</v>
      </c>
      <c r="D35" s="7" t="s">
        <v>505</v>
      </c>
      <c r="E35" s="7" t="s">
        <v>506</v>
      </c>
      <c r="F35" s="7" t="s">
        <v>251</v>
      </c>
      <c r="G35" s="7" t="s">
        <v>161</v>
      </c>
      <c r="H35" s="6" t="s">
        <v>161</v>
      </c>
      <c r="I35" s="6" t="e">
        <v>#N/A</v>
      </c>
      <c r="J35" s="6" t="e">
        <v>#N/A</v>
      </c>
      <c r="K35" s="6" t="e">
        <v>#N/A</v>
      </c>
      <c r="L35" s="6" t="e">
        <v>#N/A</v>
      </c>
      <c r="M35" s="7" t="e">
        <v>#N/A</v>
      </c>
      <c r="N35" s="6" t="e">
        <v>#N/A</v>
      </c>
      <c r="O35" s="6" t="e">
        <v>#N/A</v>
      </c>
      <c r="P35" s="7" t="e">
        <v>#N/A</v>
      </c>
      <c r="Q35" s="7" t="e">
        <v>#N/A</v>
      </c>
      <c r="R35" s="7" t="e">
        <v>#N/A</v>
      </c>
      <c r="S35" s="7" t="e">
        <v>#N/A</v>
      </c>
      <c r="T35" s="7" t="e">
        <v>#N/A</v>
      </c>
      <c r="U35" s="7" t="e">
        <v>#N/A</v>
      </c>
      <c r="V35" s="6" t="e">
        <v>#N/A</v>
      </c>
      <c r="W35" s="6" t="e">
        <v>#N/A</v>
      </c>
      <c r="X35" s="7" t="e">
        <v>#N/A</v>
      </c>
      <c r="Z35" s="6" t="e">
        <f>VLOOKUP(H35,PortConfigOptions!$B$1:$R$89,2,FALSE)</f>
        <v>#N/A</v>
      </c>
      <c r="AA35" s="6" t="e">
        <f>VLOOKUP(H35,PortConfigOptions!$B$1:$R$89,3,FALSE)</f>
        <v>#N/A</v>
      </c>
      <c r="AB35" s="6" t="e">
        <f>VLOOKUP(H35,PortConfigOptions!$B$1:$R$89,4,FALSE)</f>
        <v>#N/A</v>
      </c>
      <c r="AC35" s="6" t="e">
        <f>VLOOKUP(H35,PortConfigOptions!$B$1:$R$89,5,FALSE)</f>
        <v>#N/A</v>
      </c>
      <c r="AD35" s="6" t="e">
        <f>VLOOKUP(H35,PortConfigOptions!$B$1:$R$89,6,FALSE)</f>
        <v>#N/A</v>
      </c>
      <c r="AE35" s="6" t="e">
        <f>VLOOKUP(H35,PortConfigOptions!$B$1:$R$89,7,FALSE)</f>
        <v>#N/A</v>
      </c>
      <c r="AF35" s="6" t="e">
        <f>VLOOKUP(H35,PortConfigOptions!$B$1:$R$89,8,FALSE)</f>
        <v>#N/A</v>
      </c>
      <c r="AG35" s="6" t="e">
        <f>VLOOKUP(H35,PortConfigOptions!$B$1:$R$89,9,FALSE)</f>
        <v>#N/A</v>
      </c>
      <c r="AH35" s="6" t="e">
        <f>VLOOKUP(H35,PortConfigOptions!$B$1:$R$89,10,FALSE)</f>
        <v>#N/A</v>
      </c>
      <c r="AI35" s="6" t="e">
        <f>VLOOKUP(H35,PortConfigOptions!$B$1:$R$89,11,FALSE)</f>
        <v>#N/A</v>
      </c>
      <c r="AJ35" s="6" t="e">
        <f>VLOOKUP(H35,PortConfigOptions!$B$1:$R$89,12,FALSE)</f>
        <v>#N/A</v>
      </c>
      <c r="AK35" s="6" t="e">
        <f>VLOOKUP(H35,PortConfigOptions!$B$1:$R$89,13,FALSE)</f>
        <v>#N/A</v>
      </c>
      <c r="AL35" s="6" t="e">
        <f>VLOOKUP(H35,PortConfigOptions!$B$1:$R$89,14,FALSE)</f>
        <v>#N/A</v>
      </c>
      <c r="AM35" s="6" t="e">
        <f>VLOOKUP(H35,PortConfigOptions!$B$1:$R$89,15,FALSE)</f>
        <v>#N/A</v>
      </c>
      <c r="AN35" s="6" t="e">
        <f>VLOOKUP(H35,PortConfigOptions!$B$1:$R$89,16,FALSE)</f>
        <v>#N/A</v>
      </c>
      <c r="AO35" s="6" t="e">
        <f>VLOOKUP(H35,PortConfigOptions!$B$1:$R$89,17,FALSE)</f>
        <v>#N/A</v>
      </c>
      <c r="AV35" s="6" t="s">
        <v>161</v>
      </c>
    </row>
    <row r="36" spans="1:48" ht="15.6" x14ac:dyDescent="0.3">
      <c r="A36" s="6">
        <v>83</v>
      </c>
      <c r="B36" s="7">
        <v>11</v>
      </c>
      <c r="D36" s="7" t="s">
        <v>169</v>
      </c>
      <c r="E36" s="7" t="s">
        <v>6</v>
      </c>
      <c r="F36" s="7" t="s">
        <v>251</v>
      </c>
      <c r="G36" s="7" t="s">
        <v>171</v>
      </c>
      <c r="H36" s="6" t="s">
        <v>171</v>
      </c>
      <c r="I36" s="6" t="e">
        <v>#N/A</v>
      </c>
      <c r="J36" s="6" t="e">
        <v>#N/A</v>
      </c>
      <c r="K36" s="6" t="e">
        <v>#N/A</v>
      </c>
      <c r="L36" s="6" t="e">
        <v>#N/A</v>
      </c>
      <c r="M36" s="7" t="e">
        <v>#N/A</v>
      </c>
      <c r="N36" s="6" t="e">
        <v>#N/A</v>
      </c>
      <c r="O36" s="6" t="e">
        <v>#N/A</v>
      </c>
      <c r="P36" s="7" t="e">
        <v>#N/A</v>
      </c>
      <c r="Q36" s="7" t="e">
        <v>#N/A</v>
      </c>
      <c r="R36" s="7" t="e">
        <v>#N/A</v>
      </c>
      <c r="S36" s="7" t="e">
        <v>#N/A</v>
      </c>
      <c r="T36" s="7" t="e">
        <v>#N/A</v>
      </c>
      <c r="U36" s="7" t="e">
        <v>#N/A</v>
      </c>
      <c r="V36" s="6" t="e">
        <v>#N/A</v>
      </c>
      <c r="W36" s="6" t="e">
        <v>#N/A</v>
      </c>
      <c r="X36" s="7" t="e">
        <v>#N/A</v>
      </c>
      <c r="Z36" s="6" t="e">
        <f>VLOOKUP(H36,PortConfigOptions!$B$1:$R$89,2,FALSE)</f>
        <v>#N/A</v>
      </c>
      <c r="AA36" s="6" t="e">
        <f>VLOOKUP(H36,PortConfigOptions!$B$1:$R$89,3,FALSE)</f>
        <v>#N/A</v>
      </c>
      <c r="AB36" s="6" t="e">
        <f>VLOOKUP(H36,PortConfigOptions!$B$1:$R$89,4,FALSE)</f>
        <v>#N/A</v>
      </c>
      <c r="AC36" s="6" t="e">
        <f>VLOOKUP(H36,PortConfigOptions!$B$1:$R$89,5,FALSE)</f>
        <v>#N/A</v>
      </c>
      <c r="AD36" s="6" t="e">
        <f>VLOOKUP(H36,PortConfigOptions!$B$1:$R$89,6,FALSE)</f>
        <v>#N/A</v>
      </c>
      <c r="AE36" s="6" t="e">
        <f>VLOOKUP(H36,PortConfigOptions!$B$1:$R$89,7,FALSE)</f>
        <v>#N/A</v>
      </c>
      <c r="AF36" s="6" t="e">
        <f>VLOOKUP(H36,PortConfigOptions!$B$1:$R$89,8,FALSE)</f>
        <v>#N/A</v>
      </c>
      <c r="AG36" s="6" t="e">
        <f>VLOOKUP(H36,PortConfigOptions!$B$1:$R$89,9,FALSE)</f>
        <v>#N/A</v>
      </c>
      <c r="AH36" s="6" t="e">
        <f>VLOOKUP(H36,PortConfigOptions!$B$1:$R$89,10,FALSE)</f>
        <v>#N/A</v>
      </c>
      <c r="AI36" s="6" t="e">
        <f>VLOOKUP(H36,PortConfigOptions!$B$1:$R$89,11,FALSE)</f>
        <v>#N/A</v>
      </c>
      <c r="AJ36" s="6" t="e">
        <f>VLOOKUP(H36,PortConfigOptions!$B$1:$R$89,12,FALSE)</f>
        <v>#N/A</v>
      </c>
      <c r="AK36" s="6" t="e">
        <f>VLOOKUP(H36,PortConfigOptions!$B$1:$R$89,13,FALSE)</f>
        <v>#N/A</v>
      </c>
      <c r="AL36" s="6" t="e">
        <f>VLOOKUP(H36,PortConfigOptions!$B$1:$R$89,14,FALSE)</f>
        <v>#N/A</v>
      </c>
      <c r="AM36" s="6" t="e">
        <f>VLOOKUP(H36,PortConfigOptions!$B$1:$R$89,15,FALSE)</f>
        <v>#N/A</v>
      </c>
      <c r="AN36" s="6" t="e">
        <f>VLOOKUP(H36,PortConfigOptions!$B$1:$R$89,16,FALSE)</f>
        <v>#N/A</v>
      </c>
      <c r="AO36" s="6" t="e">
        <f>VLOOKUP(H36,PortConfigOptions!$B$1:$R$89,17,FALSE)</f>
        <v>#N/A</v>
      </c>
      <c r="AS36" s="7" t="s">
        <v>58</v>
      </c>
      <c r="AV36" s="6" t="s">
        <v>171</v>
      </c>
    </row>
    <row r="37" spans="1:48" ht="15.6" x14ac:dyDescent="0.3">
      <c r="A37" s="6">
        <v>87</v>
      </c>
      <c r="B37" s="7">
        <v>60</v>
      </c>
      <c r="D37" s="7" t="s">
        <v>169</v>
      </c>
      <c r="E37" s="7" t="s">
        <v>6</v>
      </c>
      <c r="F37" s="7" t="s">
        <v>251</v>
      </c>
      <c r="G37" s="7" t="s">
        <v>171</v>
      </c>
      <c r="H37" s="6" t="s">
        <v>171</v>
      </c>
      <c r="I37" s="6" t="e">
        <v>#N/A</v>
      </c>
      <c r="J37" s="6" t="e">
        <v>#N/A</v>
      </c>
      <c r="K37" s="6" t="e">
        <v>#N/A</v>
      </c>
      <c r="L37" s="6" t="e">
        <v>#N/A</v>
      </c>
      <c r="M37" s="7" t="e">
        <v>#N/A</v>
      </c>
      <c r="N37" s="6" t="e">
        <v>#N/A</v>
      </c>
      <c r="O37" s="6" t="e">
        <v>#N/A</v>
      </c>
      <c r="P37" s="7" t="e">
        <v>#N/A</v>
      </c>
      <c r="Q37" s="7" t="e">
        <v>#N/A</v>
      </c>
      <c r="R37" s="7" t="e">
        <v>#N/A</v>
      </c>
      <c r="S37" s="7" t="e">
        <v>#N/A</v>
      </c>
      <c r="T37" s="7" t="e">
        <v>#N/A</v>
      </c>
      <c r="U37" s="7" t="e">
        <v>#N/A</v>
      </c>
      <c r="V37" s="6" t="e">
        <v>#N/A</v>
      </c>
      <c r="W37" s="6" t="e">
        <v>#N/A</v>
      </c>
      <c r="X37" s="7" t="e">
        <v>#N/A</v>
      </c>
      <c r="Z37" s="6" t="e">
        <f>VLOOKUP(H37,PortConfigOptions!$B$1:$R$89,2,FALSE)</f>
        <v>#N/A</v>
      </c>
      <c r="AA37" s="6" t="e">
        <f>VLOOKUP(H37,PortConfigOptions!$B$1:$R$89,3,FALSE)</f>
        <v>#N/A</v>
      </c>
      <c r="AB37" s="6" t="e">
        <f>VLOOKUP(H37,PortConfigOptions!$B$1:$R$89,4,FALSE)</f>
        <v>#N/A</v>
      </c>
      <c r="AC37" s="6" t="e">
        <f>VLOOKUP(H37,PortConfigOptions!$B$1:$R$89,5,FALSE)</f>
        <v>#N/A</v>
      </c>
      <c r="AD37" s="6" t="e">
        <f>VLOOKUP(H37,PortConfigOptions!$B$1:$R$89,6,FALSE)</f>
        <v>#N/A</v>
      </c>
      <c r="AE37" s="6" t="e">
        <f>VLOOKUP(H37,PortConfigOptions!$B$1:$R$89,7,FALSE)</f>
        <v>#N/A</v>
      </c>
      <c r="AF37" s="6" t="e">
        <f>VLOOKUP(H37,PortConfigOptions!$B$1:$R$89,8,FALSE)</f>
        <v>#N/A</v>
      </c>
      <c r="AG37" s="6" t="e">
        <f>VLOOKUP(H37,PortConfigOptions!$B$1:$R$89,9,FALSE)</f>
        <v>#N/A</v>
      </c>
      <c r="AH37" s="6" t="e">
        <f>VLOOKUP(H37,PortConfigOptions!$B$1:$R$89,10,FALSE)</f>
        <v>#N/A</v>
      </c>
      <c r="AI37" s="6" t="e">
        <f>VLOOKUP(H37,PortConfigOptions!$B$1:$R$89,11,FALSE)</f>
        <v>#N/A</v>
      </c>
      <c r="AJ37" s="6" t="e">
        <f>VLOOKUP(H37,PortConfigOptions!$B$1:$R$89,12,FALSE)</f>
        <v>#N/A</v>
      </c>
      <c r="AK37" s="6" t="e">
        <f>VLOOKUP(H37,PortConfigOptions!$B$1:$R$89,13,FALSE)</f>
        <v>#N/A</v>
      </c>
      <c r="AL37" s="6" t="e">
        <f>VLOOKUP(H37,PortConfigOptions!$B$1:$R$89,14,FALSE)</f>
        <v>#N/A</v>
      </c>
      <c r="AM37" s="6" t="e">
        <f>VLOOKUP(H37,PortConfigOptions!$B$1:$R$89,15,FALSE)</f>
        <v>#N/A</v>
      </c>
      <c r="AN37" s="6" t="e">
        <f>VLOOKUP(H37,PortConfigOptions!$B$1:$R$89,16,FALSE)</f>
        <v>#N/A</v>
      </c>
      <c r="AO37" s="6" t="e">
        <f>VLOOKUP(H37,PortConfigOptions!$B$1:$R$89,17,FALSE)</f>
        <v>#N/A</v>
      </c>
      <c r="AS37" s="7" t="s">
        <v>58</v>
      </c>
      <c r="AV37" s="6" t="s">
        <v>171</v>
      </c>
    </row>
    <row r="38" spans="1:48" ht="15.6" x14ac:dyDescent="0.3">
      <c r="A38" s="6">
        <v>90</v>
      </c>
      <c r="B38" s="7">
        <v>84</v>
      </c>
      <c r="D38" s="7" t="s">
        <v>169</v>
      </c>
      <c r="E38" s="7" t="s">
        <v>6</v>
      </c>
      <c r="F38" s="7" t="s">
        <v>251</v>
      </c>
      <c r="G38" s="7" t="s">
        <v>171</v>
      </c>
      <c r="H38" s="6" t="s">
        <v>171</v>
      </c>
      <c r="I38" s="6" t="e">
        <v>#N/A</v>
      </c>
      <c r="J38" s="6" t="e">
        <v>#N/A</v>
      </c>
      <c r="K38" s="6" t="e">
        <v>#N/A</v>
      </c>
      <c r="L38" s="6" t="e">
        <v>#N/A</v>
      </c>
      <c r="M38" s="7" t="e">
        <v>#N/A</v>
      </c>
      <c r="N38" s="6" t="e">
        <v>#N/A</v>
      </c>
      <c r="O38" s="6" t="e">
        <v>#N/A</v>
      </c>
      <c r="P38" s="7" t="e">
        <v>#N/A</v>
      </c>
      <c r="Q38" s="7" t="e">
        <v>#N/A</v>
      </c>
      <c r="R38" s="7" t="e">
        <v>#N/A</v>
      </c>
      <c r="S38" s="7" t="e">
        <v>#N/A</v>
      </c>
      <c r="T38" s="7" t="e">
        <v>#N/A</v>
      </c>
      <c r="U38" s="7" t="e">
        <v>#N/A</v>
      </c>
      <c r="V38" s="6" t="e">
        <v>#N/A</v>
      </c>
      <c r="W38" s="6" t="e">
        <v>#N/A</v>
      </c>
      <c r="X38" s="7" t="e">
        <v>#N/A</v>
      </c>
      <c r="Z38" s="6" t="e">
        <f>VLOOKUP(H38,PortConfigOptions!$B$1:$R$89,2,FALSE)</f>
        <v>#N/A</v>
      </c>
      <c r="AA38" s="6" t="e">
        <f>VLOOKUP(H38,PortConfigOptions!$B$1:$R$89,3,FALSE)</f>
        <v>#N/A</v>
      </c>
      <c r="AB38" s="6" t="e">
        <f>VLOOKUP(H38,PortConfigOptions!$B$1:$R$89,4,FALSE)</f>
        <v>#N/A</v>
      </c>
      <c r="AC38" s="6" t="e">
        <f>VLOOKUP(H38,PortConfigOptions!$B$1:$R$89,5,FALSE)</f>
        <v>#N/A</v>
      </c>
      <c r="AD38" s="6" t="e">
        <f>VLOOKUP(H38,PortConfigOptions!$B$1:$R$89,6,FALSE)</f>
        <v>#N/A</v>
      </c>
      <c r="AE38" s="6" t="e">
        <f>VLOOKUP(H38,PortConfigOptions!$B$1:$R$89,7,FALSE)</f>
        <v>#N/A</v>
      </c>
      <c r="AF38" s="6" t="e">
        <f>VLOOKUP(H38,PortConfigOptions!$B$1:$R$89,8,FALSE)</f>
        <v>#N/A</v>
      </c>
      <c r="AG38" s="6" t="e">
        <f>VLOOKUP(H38,PortConfigOptions!$B$1:$R$89,9,FALSE)</f>
        <v>#N/A</v>
      </c>
      <c r="AH38" s="6" t="e">
        <f>VLOOKUP(H38,PortConfigOptions!$B$1:$R$89,10,FALSE)</f>
        <v>#N/A</v>
      </c>
      <c r="AI38" s="6" t="e">
        <f>VLOOKUP(H38,PortConfigOptions!$B$1:$R$89,11,FALSE)</f>
        <v>#N/A</v>
      </c>
      <c r="AJ38" s="6" t="e">
        <f>VLOOKUP(H38,PortConfigOptions!$B$1:$R$89,12,FALSE)</f>
        <v>#N/A</v>
      </c>
      <c r="AK38" s="6" t="e">
        <f>VLOOKUP(H38,PortConfigOptions!$B$1:$R$89,13,FALSE)</f>
        <v>#N/A</v>
      </c>
      <c r="AL38" s="6" t="e">
        <f>VLOOKUP(H38,PortConfigOptions!$B$1:$R$89,14,FALSE)</f>
        <v>#N/A</v>
      </c>
      <c r="AM38" s="6" t="e">
        <f>VLOOKUP(H38,PortConfigOptions!$B$1:$R$89,15,FALSE)</f>
        <v>#N/A</v>
      </c>
      <c r="AN38" s="6" t="e">
        <f>VLOOKUP(H38,PortConfigOptions!$B$1:$R$89,16,FALSE)</f>
        <v>#N/A</v>
      </c>
      <c r="AO38" s="6" t="e">
        <f>VLOOKUP(H38,PortConfigOptions!$B$1:$R$89,17,FALSE)</f>
        <v>#N/A</v>
      </c>
      <c r="AS38" s="7" t="s">
        <v>58</v>
      </c>
      <c r="AV38" s="6" t="s">
        <v>171</v>
      </c>
    </row>
    <row r="39" spans="1:48" ht="15.6" x14ac:dyDescent="0.3">
      <c r="A39" s="6">
        <v>94</v>
      </c>
      <c r="B39" s="7">
        <v>107</v>
      </c>
      <c r="D39" s="7" t="s">
        <v>169</v>
      </c>
      <c r="E39" s="7" t="s">
        <v>6</v>
      </c>
      <c r="F39" s="7" t="s">
        <v>251</v>
      </c>
      <c r="G39" s="7" t="s">
        <v>171</v>
      </c>
      <c r="H39" s="6" t="s">
        <v>171</v>
      </c>
      <c r="I39" s="6" t="e">
        <v>#N/A</v>
      </c>
      <c r="J39" s="6" t="e">
        <v>#N/A</v>
      </c>
      <c r="K39" s="6" t="e">
        <v>#N/A</v>
      </c>
      <c r="L39" s="6" t="e">
        <v>#N/A</v>
      </c>
      <c r="M39" s="7" t="e">
        <v>#N/A</v>
      </c>
      <c r="N39" s="6" t="e">
        <v>#N/A</v>
      </c>
      <c r="O39" s="6" t="e">
        <v>#N/A</v>
      </c>
      <c r="P39" s="7" t="e">
        <v>#N/A</v>
      </c>
      <c r="Q39" s="7" t="e">
        <v>#N/A</v>
      </c>
      <c r="R39" s="7" t="e">
        <v>#N/A</v>
      </c>
      <c r="S39" s="7" t="e">
        <v>#N/A</v>
      </c>
      <c r="T39" s="7" t="e">
        <v>#N/A</v>
      </c>
      <c r="U39" s="7" t="e">
        <v>#N/A</v>
      </c>
      <c r="V39" s="6" t="e">
        <v>#N/A</v>
      </c>
      <c r="W39" s="6" t="e">
        <v>#N/A</v>
      </c>
      <c r="X39" s="7" t="e">
        <v>#N/A</v>
      </c>
      <c r="Z39" s="6" t="e">
        <f>VLOOKUP(H39,PortConfigOptions!$B$1:$R$89,2,FALSE)</f>
        <v>#N/A</v>
      </c>
      <c r="AA39" s="6" t="e">
        <f>VLOOKUP(H39,PortConfigOptions!$B$1:$R$89,3,FALSE)</f>
        <v>#N/A</v>
      </c>
      <c r="AB39" s="6" t="e">
        <f>VLOOKUP(H39,PortConfigOptions!$B$1:$R$89,4,FALSE)</f>
        <v>#N/A</v>
      </c>
      <c r="AC39" s="6" t="e">
        <f>VLOOKUP(H39,PortConfigOptions!$B$1:$R$89,5,FALSE)</f>
        <v>#N/A</v>
      </c>
      <c r="AD39" s="6" t="e">
        <f>VLOOKUP(H39,PortConfigOptions!$B$1:$R$89,6,FALSE)</f>
        <v>#N/A</v>
      </c>
      <c r="AE39" s="6" t="e">
        <f>VLOOKUP(H39,PortConfigOptions!$B$1:$R$89,7,FALSE)</f>
        <v>#N/A</v>
      </c>
      <c r="AF39" s="6" t="e">
        <f>VLOOKUP(H39,PortConfigOptions!$B$1:$R$89,8,FALSE)</f>
        <v>#N/A</v>
      </c>
      <c r="AG39" s="6" t="e">
        <f>VLOOKUP(H39,PortConfigOptions!$B$1:$R$89,9,FALSE)</f>
        <v>#N/A</v>
      </c>
      <c r="AH39" s="6" t="e">
        <f>VLOOKUP(H39,PortConfigOptions!$B$1:$R$89,10,FALSE)</f>
        <v>#N/A</v>
      </c>
      <c r="AI39" s="6" t="e">
        <f>VLOOKUP(H39,PortConfigOptions!$B$1:$R$89,11,FALSE)</f>
        <v>#N/A</v>
      </c>
      <c r="AJ39" s="6" t="e">
        <f>VLOOKUP(H39,PortConfigOptions!$B$1:$R$89,12,FALSE)</f>
        <v>#N/A</v>
      </c>
      <c r="AK39" s="6" t="e">
        <f>VLOOKUP(H39,PortConfigOptions!$B$1:$R$89,13,FALSE)</f>
        <v>#N/A</v>
      </c>
      <c r="AL39" s="6" t="e">
        <f>VLOOKUP(H39,PortConfigOptions!$B$1:$R$89,14,FALSE)</f>
        <v>#N/A</v>
      </c>
      <c r="AM39" s="6" t="e">
        <f>VLOOKUP(H39,PortConfigOptions!$B$1:$R$89,15,FALSE)</f>
        <v>#N/A</v>
      </c>
      <c r="AN39" s="6" t="e">
        <f>VLOOKUP(H39,PortConfigOptions!$B$1:$R$89,16,FALSE)</f>
        <v>#N/A</v>
      </c>
      <c r="AO39" s="6" t="e">
        <f>VLOOKUP(H39,PortConfigOptions!$B$1:$R$89,17,FALSE)</f>
        <v>#N/A</v>
      </c>
      <c r="AS39" s="7" t="s">
        <v>58</v>
      </c>
      <c r="AV39" s="6" t="s">
        <v>171</v>
      </c>
    </row>
    <row r="40" spans="1:48" ht="15.6" x14ac:dyDescent="0.3">
      <c r="A40" s="6">
        <v>99</v>
      </c>
      <c r="B40" s="7">
        <v>134</v>
      </c>
      <c r="D40" s="7" t="s">
        <v>169</v>
      </c>
      <c r="E40" s="7" t="s">
        <v>6</v>
      </c>
      <c r="F40" s="7" t="s">
        <v>251</v>
      </c>
      <c r="G40" s="7" t="s">
        <v>171</v>
      </c>
      <c r="H40" s="6" t="s">
        <v>171</v>
      </c>
      <c r="I40" s="6" t="e">
        <v>#N/A</v>
      </c>
      <c r="J40" s="6" t="e">
        <v>#N/A</v>
      </c>
      <c r="K40" s="6" t="e">
        <v>#N/A</v>
      </c>
      <c r="L40" s="6" t="e">
        <v>#N/A</v>
      </c>
      <c r="M40" s="7" t="e">
        <v>#N/A</v>
      </c>
      <c r="N40" s="6" t="e">
        <v>#N/A</v>
      </c>
      <c r="O40" s="6" t="e">
        <v>#N/A</v>
      </c>
      <c r="P40" s="7" t="e">
        <v>#N/A</v>
      </c>
      <c r="Q40" s="7" t="e">
        <v>#N/A</v>
      </c>
      <c r="R40" s="7" t="e">
        <v>#N/A</v>
      </c>
      <c r="S40" s="7" t="e">
        <v>#N/A</v>
      </c>
      <c r="T40" s="7" t="e">
        <v>#N/A</v>
      </c>
      <c r="U40" s="7" t="e">
        <v>#N/A</v>
      </c>
      <c r="V40" s="6" t="e">
        <v>#N/A</v>
      </c>
      <c r="W40" s="6" t="e">
        <v>#N/A</v>
      </c>
      <c r="X40" s="7" t="e">
        <v>#N/A</v>
      </c>
      <c r="Z40" s="6" t="e">
        <f>VLOOKUP(H40,PortConfigOptions!$B$1:$R$89,2,FALSE)</f>
        <v>#N/A</v>
      </c>
      <c r="AA40" s="6" t="e">
        <f>VLOOKUP(H40,PortConfigOptions!$B$1:$R$89,3,FALSE)</f>
        <v>#N/A</v>
      </c>
      <c r="AB40" s="6" t="e">
        <f>VLOOKUP(H40,PortConfigOptions!$B$1:$R$89,4,FALSE)</f>
        <v>#N/A</v>
      </c>
      <c r="AC40" s="6" t="e">
        <f>VLOOKUP(H40,PortConfigOptions!$B$1:$R$89,5,FALSE)</f>
        <v>#N/A</v>
      </c>
      <c r="AD40" s="6" t="e">
        <f>VLOOKUP(H40,PortConfigOptions!$B$1:$R$89,6,FALSE)</f>
        <v>#N/A</v>
      </c>
      <c r="AE40" s="6" t="e">
        <f>VLOOKUP(H40,PortConfigOptions!$B$1:$R$89,7,FALSE)</f>
        <v>#N/A</v>
      </c>
      <c r="AF40" s="6" t="e">
        <f>VLOOKUP(H40,PortConfigOptions!$B$1:$R$89,8,FALSE)</f>
        <v>#N/A</v>
      </c>
      <c r="AG40" s="6" t="e">
        <f>VLOOKUP(H40,PortConfigOptions!$B$1:$R$89,9,FALSE)</f>
        <v>#N/A</v>
      </c>
      <c r="AH40" s="6" t="e">
        <f>VLOOKUP(H40,PortConfigOptions!$B$1:$R$89,10,FALSE)</f>
        <v>#N/A</v>
      </c>
      <c r="AI40" s="6" t="e">
        <f>VLOOKUP(H40,PortConfigOptions!$B$1:$R$89,11,FALSE)</f>
        <v>#N/A</v>
      </c>
      <c r="AJ40" s="6" t="e">
        <f>VLOOKUP(H40,PortConfigOptions!$B$1:$R$89,12,FALSE)</f>
        <v>#N/A</v>
      </c>
      <c r="AK40" s="6" t="e">
        <f>VLOOKUP(H40,PortConfigOptions!$B$1:$R$89,13,FALSE)</f>
        <v>#N/A</v>
      </c>
      <c r="AL40" s="6" t="e">
        <f>VLOOKUP(H40,PortConfigOptions!$B$1:$R$89,14,FALSE)</f>
        <v>#N/A</v>
      </c>
      <c r="AM40" s="6" t="e">
        <f>VLOOKUP(H40,PortConfigOptions!$B$1:$R$89,15,FALSE)</f>
        <v>#N/A</v>
      </c>
      <c r="AN40" s="6" t="e">
        <f>VLOOKUP(H40,PortConfigOptions!$B$1:$R$89,16,FALSE)</f>
        <v>#N/A</v>
      </c>
      <c r="AO40" s="6" t="e">
        <f>VLOOKUP(H40,PortConfigOptions!$B$1:$R$89,17,FALSE)</f>
        <v>#N/A</v>
      </c>
      <c r="AS40" s="7" t="s">
        <v>58</v>
      </c>
      <c r="AV40" s="6" t="s">
        <v>171</v>
      </c>
    </row>
    <row r="41" spans="1:48" ht="15.6" x14ac:dyDescent="0.3">
      <c r="A41" s="6">
        <v>82</v>
      </c>
      <c r="B41" s="7">
        <v>10</v>
      </c>
      <c r="D41" s="7" t="s">
        <v>169</v>
      </c>
      <c r="E41" s="7" t="s">
        <v>6</v>
      </c>
      <c r="F41" s="7" t="s">
        <v>251</v>
      </c>
      <c r="G41" s="7" t="s">
        <v>170</v>
      </c>
      <c r="H41" s="6" t="s">
        <v>170</v>
      </c>
      <c r="I41" s="6" t="e">
        <v>#N/A</v>
      </c>
      <c r="J41" s="6" t="e">
        <v>#N/A</v>
      </c>
      <c r="K41" s="6" t="e">
        <v>#N/A</v>
      </c>
      <c r="L41" s="6" t="e">
        <v>#N/A</v>
      </c>
      <c r="M41" s="7" t="e">
        <v>#N/A</v>
      </c>
      <c r="N41" s="6" t="e">
        <v>#N/A</v>
      </c>
      <c r="O41" s="6" t="e">
        <v>#N/A</v>
      </c>
      <c r="P41" s="7" t="e">
        <v>#N/A</v>
      </c>
      <c r="Q41" s="7" t="e">
        <v>#N/A</v>
      </c>
      <c r="R41" s="7" t="e">
        <v>#N/A</v>
      </c>
      <c r="S41" s="7" t="e">
        <v>#N/A</v>
      </c>
      <c r="T41" s="7" t="e">
        <v>#N/A</v>
      </c>
      <c r="U41" s="7" t="e">
        <v>#N/A</v>
      </c>
      <c r="V41" s="6" t="e">
        <v>#N/A</v>
      </c>
      <c r="W41" s="6" t="e">
        <v>#N/A</v>
      </c>
      <c r="X41" s="7" t="e">
        <v>#N/A</v>
      </c>
      <c r="Z41" s="6" t="e">
        <f>VLOOKUP(H41,PortConfigOptions!$B$1:$R$89,2,FALSE)</f>
        <v>#N/A</v>
      </c>
      <c r="AA41" s="6" t="e">
        <f>VLOOKUP(H41,PortConfigOptions!$B$1:$R$89,3,FALSE)</f>
        <v>#N/A</v>
      </c>
      <c r="AB41" s="6" t="e">
        <f>VLOOKUP(H41,PortConfigOptions!$B$1:$R$89,4,FALSE)</f>
        <v>#N/A</v>
      </c>
      <c r="AC41" s="6" t="e">
        <f>VLOOKUP(H41,PortConfigOptions!$B$1:$R$89,5,FALSE)</f>
        <v>#N/A</v>
      </c>
      <c r="AD41" s="6" t="e">
        <f>VLOOKUP(H41,PortConfigOptions!$B$1:$R$89,6,FALSE)</f>
        <v>#N/A</v>
      </c>
      <c r="AE41" s="6" t="e">
        <f>VLOOKUP(H41,PortConfigOptions!$B$1:$R$89,7,FALSE)</f>
        <v>#N/A</v>
      </c>
      <c r="AF41" s="6" t="e">
        <f>VLOOKUP(H41,PortConfigOptions!$B$1:$R$89,8,FALSE)</f>
        <v>#N/A</v>
      </c>
      <c r="AG41" s="6" t="e">
        <f>VLOOKUP(H41,PortConfigOptions!$B$1:$R$89,9,FALSE)</f>
        <v>#N/A</v>
      </c>
      <c r="AH41" s="6" t="e">
        <f>VLOOKUP(H41,PortConfigOptions!$B$1:$R$89,10,FALSE)</f>
        <v>#N/A</v>
      </c>
      <c r="AI41" s="6" t="e">
        <f>VLOOKUP(H41,PortConfigOptions!$B$1:$R$89,11,FALSE)</f>
        <v>#N/A</v>
      </c>
      <c r="AJ41" s="6" t="e">
        <f>VLOOKUP(H41,PortConfigOptions!$B$1:$R$89,12,FALSE)</f>
        <v>#N/A</v>
      </c>
      <c r="AK41" s="6" t="e">
        <f>VLOOKUP(H41,PortConfigOptions!$B$1:$R$89,13,FALSE)</f>
        <v>#N/A</v>
      </c>
      <c r="AL41" s="6" t="e">
        <f>VLOOKUP(H41,PortConfigOptions!$B$1:$R$89,14,FALSE)</f>
        <v>#N/A</v>
      </c>
      <c r="AM41" s="6" t="e">
        <f>VLOOKUP(H41,PortConfigOptions!$B$1:$R$89,15,FALSE)</f>
        <v>#N/A</v>
      </c>
      <c r="AN41" s="6" t="e">
        <f>VLOOKUP(H41,PortConfigOptions!$B$1:$R$89,16,FALSE)</f>
        <v>#N/A</v>
      </c>
      <c r="AO41" s="6" t="e">
        <f>VLOOKUP(H41,PortConfigOptions!$B$1:$R$89,17,FALSE)</f>
        <v>#N/A</v>
      </c>
      <c r="AS41" s="7" t="s">
        <v>58</v>
      </c>
      <c r="AV41" s="6" t="s">
        <v>170</v>
      </c>
    </row>
    <row r="42" spans="1:48" x14ac:dyDescent="0.25">
      <c r="A42" s="6">
        <v>88</v>
      </c>
      <c r="B42" s="7">
        <v>61</v>
      </c>
      <c r="D42" s="7" t="s">
        <v>169</v>
      </c>
      <c r="E42" s="7" t="s">
        <v>6</v>
      </c>
      <c r="F42" s="7" t="s">
        <v>251</v>
      </c>
      <c r="G42" s="7" t="s">
        <v>170</v>
      </c>
      <c r="H42" s="6" t="s">
        <v>170</v>
      </c>
      <c r="I42" s="6" t="e">
        <v>#N/A</v>
      </c>
      <c r="J42" s="6" t="e">
        <v>#N/A</v>
      </c>
      <c r="K42" s="6" t="e">
        <v>#N/A</v>
      </c>
      <c r="L42" s="6" t="e">
        <v>#N/A</v>
      </c>
      <c r="M42" s="7" t="e">
        <v>#N/A</v>
      </c>
      <c r="N42" s="6" t="e">
        <v>#N/A</v>
      </c>
      <c r="O42" s="6" t="e">
        <v>#N/A</v>
      </c>
      <c r="P42" s="7" t="e">
        <v>#N/A</v>
      </c>
      <c r="Q42" s="7" t="e">
        <v>#N/A</v>
      </c>
      <c r="R42" s="7" t="e">
        <v>#N/A</v>
      </c>
      <c r="S42" s="7" t="e">
        <v>#N/A</v>
      </c>
      <c r="T42" s="7" t="e">
        <v>#N/A</v>
      </c>
      <c r="U42" s="7" t="e">
        <v>#N/A</v>
      </c>
      <c r="V42" s="6" t="e">
        <v>#N/A</v>
      </c>
      <c r="W42" s="6" t="e">
        <v>#N/A</v>
      </c>
      <c r="X42" s="7" t="e">
        <v>#N/A</v>
      </c>
      <c r="Z42" s="6" t="e">
        <f>VLOOKUP(H42,PortConfigOptions!$B$1:$R$89,2,FALSE)</f>
        <v>#N/A</v>
      </c>
      <c r="AA42" s="6" t="e">
        <f>VLOOKUP(H42,PortConfigOptions!$B$1:$R$89,3,FALSE)</f>
        <v>#N/A</v>
      </c>
      <c r="AB42" s="6" t="e">
        <f>VLOOKUP(H42,PortConfigOptions!$B$1:$R$89,4,FALSE)</f>
        <v>#N/A</v>
      </c>
      <c r="AC42" s="6" t="e">
        <f>VLOOKUP(H42,PortConfigOptions!$B$1:$R$89,5,FALSE)</f>
        <v>#N/A</v>
      </c>
      <c r="AD42" s="6" t="e">
        <f>VLOOKUP(H42,PortConfigOptions!$B$1:$R$89,6,FALSE)</f>
        <v>#N/A</v>
      </c>
      <c r="AE42" s="6" t="e">
        <f>VLOOKUP(H42,PortConfigOptions!$B$1:$R$89,7,FALSE)</f>
        <v>#N/A</v>
      </c>
      <c r="AF42" s="6" t="e">
        <f>VLOOKUP(H42,PortConfigOptions!$B$1:$R$89,8,FALSE)</f>
        <v>#N/A</v>
      </c>
      <c r="AG42" s="6" t="e">
        <f>VLOOKUP(H42,PortConfigOptions!$B$1:$R$89,9,FALSE)</f>
        <v>#N/A</v>
      </c>
      <c r="AH42" s="6" t="e">
        <f>VLOOKUP(H42,PortConfigOptions!$B$1:$R$89,10,FALSE)</f>
        <v>#N/A</v>
      </c>
      <c r="AI42" s="6" t="e">
        <f>VLOOKUP(H42,PortConfigOptions!$B$1:$R$89,11,FALSE)</f>
        <v>#N/A</v>
      </c>
      <c r="AJ42" s="6" t="e">
        <f>VLOOKUP(H42,PortConfigOptions!$B$1:$R$89,12,FALSE)</f>
        <v>#N/A</v>
      </c>
      <c r="AK42" s="6" t="e">
        <f>VLOOKUP(H42,PortConfigOptions!$B$1:$R$89,13,FALSE)</f>
        <v>#N/A</v>
      </c>
      <c r="AL42" s="6" t="e">
        <f>VLOOKUP(H42,PortConfigOptions!$B$1:$R$89,14,FALSE)</f>
        <v>#N/A</v>
      </c>
      <c r="AM42" s="6" t="e">
        <f>VLOOKUP(H42,PortConfigOptions!$B$1:$R$89,15,FALSE)</f>
        <v>#N/A</v>
      </c>
      <c r="AN42" s="6" t="e">
        <f>VLOOKUP(H42,PortConfigOptions!$B$1:$R$89,16,FALSE)</f>
        <v>#N/A</v>
      </c>
      <c r="AO42" s="6" t="e">
        <f>VLOOKUP(H42,PortConfigOptions!$B$1:$R$89,17,FALSE)</f>
        <v>#N/A</v>
      </c>
      <c r="AS42" s="7" t="s">
        <v>58</v>
      </c>
      <c r="AV42" s="6" t="s">
        <v>170</v>
      </c>
    </row>
    <row r="43" spans="1:48" x14ac:dyDescent="0.25">
      <c r="A43" s="6">
        <v>89</v>
      </c>
      <c r="B43" s="7">
        <v>83</v>
      </c>
      <c r="D43" s="7" t="s">
        <v>169</v>
      </c>
      <c r="E43" s="7" t="s">
        <v>6</v>
      </c>
      <c r="F43" s="7" t="s">
        <v>251</v>
      </c>
      <c r="G43" s="7" t="s">
        <v>170</v>
      </c>
      <c r="H43" s="6" t="s">
        <v>170</v>
      </c>
      <c r="I43" s="6" t="e">
        <v>#N/A</v>
      </c>
      <c r="J43" s="6" t="e">
        <v>#N/A</v>
      </c>
      <c r="K43" s="6" t="e">
        <v>#N/A</v>
      </c>
      <c r="L43" s="6" t="e">
        <v>#N/A</v>
      </c>
      <c r="M43" s="7" t="e">
        <v>#N/A</v>
      </c>
      <c r="N43" s="6" t="e">
        <v>#N/A</v>
      </c>
      <c r="O43" s="6" t="e">
        <v>#N/A</v>
      </c>
      <c r="P43" s="7" t="e">
        <v>#N/A</v>
      </c>
      <c r="Q43" s="7" t="e">
        <v>#N/A</v>
      </c>
      <c r="R43" s="7" t="e">
        <v>#N/A</v>
      </c>
      <c r="S43" s="7" t="e">
        <v>#N/A</v>
      </c>
      <c r="T43" s="7" t="e">
        <v>#N/A</v>
      </c>
      <c r="U43" s="7" t="e">
        <v>#N/A</v>
      </c>
      <c r="V43" s="6" t="e">
        <v>#N/A</v>
      </c>
      <c r="W43" s="6" t="e">
        <v>#N/A</v>
      </c>
      <c r="X43" s="7" t="e">
        <v>#N/A</v>
      </c>
      <c r="Z43" s="6" t="e">
        <f>VLOOKUP(H43,PortConfigOptions!$B$1:$R$89,2,FALSE)</f>
        <v>#N/A</v>
      </c>
      <c r="AA43" s="6" t="e">
        <f>VLOOKUP(H43,PortConfigOptions!$B$1:$R$89,3,FALSE)</f>
        <v>#N/A</v>
      </c>
      <c r="AB43" s="6" t="e">
        <f>VLOOKUP(H43,PortConfigOptions!$B$1:$R$89,4,FALSE)</f>
        <v>#N/A</v>
      </c>
      <c r="AC43" s="6" t="e">
        <f>VLOOKUP(H43,PortConfigOptions!$B$1:$R$89,5,FALSE)</f>
        <v>#N/A</v>
      </c>
      <c r="AD43" s="6" t="e">
        <f>VLOOKUP(H43,PortConfigOptions!$B$1:$R$89,6,FALSE)</f>
        <v>#N/A</v>
      </c>
      <c r="AE43" s="6" t="e">
        <f>VLOOKUP(H43,PortConfigOptions!$B$1:$R$89,7,FALSE)</f>
        <v>#N/A</v>
      </c>
      <c r="AF43" s="6" t="e">
        <f>VLOOKUP(H43,PortConfigOptions!$B$1:$R$89,8,FALSE)</f>
        <v>#N/A</v>
      </c>
      <c r="AG43" s="6" t="e">
        <f>VLOOKUP(H43,PortConfigOptions!$B$1:$R$89,9,FALSE)</f>
        <v>#N/A</v>
      </c>
      <c r="AH43" s="6" t="e">
        <f>VLOOKUP(H43,PortConfigOptions!$B$1:$R$89,10,FALSE)</f>
        <v>#N/A</v>
      </c>
      <c r="AI43" s="6" t="e">
        <f>VLOOKUP(H43,PortConfigOptions!$B$1:$R$89,11,FALSE)</f>
        <v>#N/A</v>
      </c>
      <c r="AJ43" s="6" t="e">
        <f>VLOOKUP(H43,PortConfigOptions!$B$1:$R$89,12,FALSE)</f>
        <v>#N/A</v>
      </c>
      <c r="AK43" s="6" t="e">
        <f>VLOOKUP(H43,PortConfigOptions!$B$1:$R$89,13,FALSE)</f>
        <v>#N/A</v>
      </c>
      <c r="AL43" s="6" t="e">
        <f>VLOOKUP(H43,PortConfigOptions!$B$1:$R$89,14,FALSE)</f>
        <v>#N/A</v>
      </c>
      <c r="AM43" s="6" t="e">
        <f>VLOOKUP(H43,PortConfigOptions!$B$1:$R$89,15,FALSE)</f>
        <v>#N/A</v>
      </c>
      <c r="AN43" s="6" t="e">
        <f>VLOOKUP(H43,PortConfigOptions!$B$1:$R$89,16,FALSE)</f>
        <v>#N/A</v>
      </c>
      <c r="AO43" s="6" t="e">
        <f>VLOOKUP(H43,PortConfigOptions!$B$1:$R$89,17,FALSE)</f>
        <v>#N/A</v>
      </c>
      <c r="AS43" s="7" t="s">
        <v>58</v>
      </c>
      <c r="AV43" s="6" t="s">
        <v>170</v>
      </c>
    </row>
    <row r="44" spans="1:48" x14ac:dyDescent="0.25">
      <c r="A44" s="6">
        <v>95</v>
      </c>
      <c r="B44" s="7">
        <v>108</v>
      </c>
      <c r="D44" s="7" t="s">
        <v>169</v>
      </c>
      <c r="E44" s="7" t="s">
        <v>6</v>
      </c>
      <c r="F44" s="7" t="s">
        <v>251</v>
      </c>
      <c r="G44" s="7" t="s">
        <v>170</v>
      </c>
      <c r="H44" s="6" t="s">
        <v>170</v>
      </c>
      <c r="I44" s="6" t="e">
        <v>#N/A</v>
      </c>
      <c r="J44" s="6" t="e">
        <v>#N/A</v>
      </c>
      <c r="K44" s="6" t="e">
        <v>#N/A</v>
      </c>
      <c r="L44" s="6" t="e">
        <v>#N/A</v>
      </c>
      <c r="M44" s="7" t="e">
        <v>#N/A</v>
      </c>
      <c r="N44" s="6" t="e">
        <v>#N/A</v>
      </c>
      <c r="O44" s="6" t="e">
        <v>#N/A</v>
      </c>
      <c r="P44" s="7" t="e">
        <v>#N/A</v>
      </c>
      <c r="Q44" s="7" t="e">
        <v>#N/A</v>
      </c>
      <c r="R44" s="7" t="e">
        <v>#N/A</v>
      </c>
      <c r="S44" s="7" t="e">
        <v>#N/A</v>
      </c>
      <c r="T44" s="7" t="e">
        <v>#N/A</v>
      </c>
      <c r="U44" s="7" t="e">
        <v>#N/A</v>
      </c>
      <c r="V44" s="6" t="e">
        <v>#N/A</v>
      </c>
      <c r="W44" s="6" t="e">
        <v>#N/A</v>
      </c>
      <c r="X44" s="7" t="e">
        <v>#N/A</v>
      </c>
      <c r="Z44" s="6" t="e">
        <f>VLOOKUP(H44,PortConfigOptions!$B$1:$R$89,2,FALSE)</f>
        <v>#N/A</v>
      </c>
      <c r="AA44" s="6" t="e">
        <f>VLOOKUP(H44,PortConfigOptions!$B$1:$R$89,3,FALSE)</f>
        <v>#N/A</v>
      </c>
      <c r="AB44" s="6" t="e">
        <f>VLOOKUP(H44,PortConfigOptions!$B$1:$R$89,4,FALSE)</f>
        <v>#N/A</v>
      </c>
      <c r="AC44" s="6" t="e">
        <f>VLOOKUP(H44,PortConfigOptions!$B$1:$R$89,5,FALSE)</f>
        <v>#N/A</v>
      </c>
      <c r="AD44" s="6" t="e">
        <f>VLOOKUP(H44,PortConfigOptions!$B$1:$R$89,6,FALSE)</f>
        <v>#N/A</v>
      </c>
      <c r="AE44" s="6" t="e">
        <f>VLOOKUP(H44,PortConfigOptions!$B$1:$R$89,7,FALSE)</f>
        <v>#N/A</v>
      </c>
      <c r="AF44" s="6" t="e">
        <f>VLOOKUP(H44,PortConfigOptions!$B$1:$R$89,8,FALSE)</f>
        <v>#N/A</v>
      </c>
      <c r="AG44" s="6" t="e">
        <f>VLOOKUP(H44,PortConfigOptions!$B$1:$R$89,9,FALSE)</f>
        <v>#N/A</v>
      </c>
      <c r="AH44" s="6" t="e">
        <f>VLOOKUP(H44,PortConfigOptions!$B$1:$R$89,10,FALSE)</f>
        <v>#N/A</v>
      </c>
      <c r="AI44" s="6" t="e">
        <f>VLOOKUP(H44,PortConfigOptions!$B$1:$R$89,11,FALSE)</f>
        <v>#N/A</v>
      </c>
      <c r="AJ44" s="6" t="e">
        <f>VLOOKUP(H44,PortConfigOptions!$B$1:$R$89,12,FALSE)</f>
        <v>#N/A</v>
      </c>
      <c r="AK44" s="6" t="e">
        <f>VLOOKUP(H44,PortConfigOptions!$B$1:$R$89,13,FALSE)</f>
        <v>#N/A</v>
      </c>
      <c r="AL44" s="6" t="e">
        <f>VLOOKUP(H44,PortConfigOptions!$B$1:$R$89,14,FALSE)</f>
        <v>#N/A</v>
      </c>
      <c r="AM44" s="6" t="e">
        <f>VLOOKUP(H44,PortConfigOptions!$B$1:$R$89,15,FALSE)</f>
        <v>#N/A</v>
      </c>
      <c r="AN44" s="6" t="e">
        <f>VLOOKUP(H44,PortConfigOptions!$B$1:$R$89,16,FALSE)</f>
        <v>#N/A</v>
      </c>
      <c r="AO44" s="6" t="e">
        <f>VLOOKUP(H44,PortConfigOptions!$B$1:$R$89,17,FALSE)</f>
        <v>#N/A</v>
      </c>
      <c r="AS44" s="7" t="s">
        <v>58</v>
      </c>
      <c r="AV44" s="6" t="s">
        <v>170</v>
      </c>
    </row>
    <row r="45" spans="1:48" x14ac:dyDescent="0.25">
      <c r="A45" s="6">
        <v>98</v>
      </c>
      <c r="B45" s="7">
        <v>133</v>
      </c>
      <c r="D45" s="7" t="s">
        <v>169</v>
      </c>
      <c r="E45" s="7" t="s">
        <v>6</v>
      </c>
      <c r="F45" s="7" t="s">
        <v>251</v>
      </c>
      <c r="G45" s="7" t="s">
        <v>170</v>
      </c>
      <c r="H45" s="6" t="s">
        <v>170</v>
      </c>
      <c r="I45" s="6" t="e">
        <v>#N/A</v>
      </c>
      <c r="J45" s="6" t="e">
        <v>#N/A</v>
      </c>
      <c r="K45" s="6" t="e">
        <v>#N/A</v>
      </c>
      <c r="L45" s="6" t="e">
        <v>#N/A</v>
      </c>
      <c r="M45" s="7" t="e">
        <v>#N/A</v>
      </c>
      <c r="N45" s="6" t="e">
        <v>#N/A</v>
      </c>
      <c r="O45" s="6" t="e">
        <v>#N/A</v>
      </c>
      <c r="P45" s="7" t="e">
        <v>#N/A</v>
      </c>
      <c r="Q45" s="7" t="e">
        <v>#N/A</v>
      </c>
      <c r="R45" s="7" t="e">
        <v>#N/A</v>
      </c>
      <c r="S45" s="7" t="e">
        <v>#N/A</v>
      </c>
      <c r="T45" s="7" t="e">
        <v>#N/A</v>
      </c>
      <c r="U45" s="7" t="e">
        <v>#N/A</v>
      </c>
      <c r="V45" s="6" t="e">
        <v>#N/A</v>
      </c>
      <c r="W45" s="6" t="e">
        <v>#N/A</v>
      </c>
      <c r="X45" s="7" t="e">
        <v>#N/A</v>
      </c>
      <c r="Z45" s="6" t="e">
        <f>VLOOKUP(H45,PortConfigOptions!$B$1:$R$89,2,FALSE)</f>
        <v>#N/A</v>
      </c>
      <c r="AA45" s="6" t="e">
        <f>VLOOKUP(H45,PortConfigOptions!$B$1:$R$89,3,FALSE)</f>
        <v>#N/A</v>
      </c>
      <c r="AB45" s="6" t="e">
        <f>VLOOKUP(H45,PortConfigOptions!$B$1:$R$89,4,FALSE)</f>
        <v>#N/A</v>
      </c>
      <c r="AC45" s="6" t="e">
        <f>VLOOKUP(H45,PortConfigOptions!$B$1:$R$89,5,FALSE)</f>
        <v>#N/A</v>
      </c>
      <c r="AD45" s="6" t="e">
        <f>VLOOKUP(H45,PortConfigOptions!$B$1:$R$89,6,FALSE)</f>
        <v>#N/A</v>
      </c>
      <c r="AE45" s="6" t="e">
        <f>VLOOKUP(H45,PortConfigOptions!$B$1:$R$89,7,FALSE)</f>
        <v>#N/A</v>
      </c>
      <c r="AF45" s="6" t="e">
        <f>VLOOKUP(H45,PortConfigOptions!$B$1:$R$89,8,FALSE)</f>
        <v>#N/A</v>
      </c>
      <c r="AG45" s="6" t="e">
        <f>VLOOKUP(H45,PortConfigOptions!$B$1:$R$89,9,FALSE)</f>
        <v>#N/A</v>
      </c>
      <c r="AH45" s="6" t="e">
        <f>VLOOKUP(H45,PortConfigOptions!$B$1:$R$89,10,FALSE)</f>
        <v>#N/A</v>
      </c>
      <c r="AI45" s="6" t="e">
        <f>VLOOKUP(H45,PortConfigOptions!$B$1:$R$89,11,FALSE)</f>
        <v>#N/A</v>
      </c>
      <c r="AJ45" s="6" t="e">
        <f>VLOOKUP(H45,PortConfigOptions!$B$1:$R$89,12,FALSE)</f>
        <v>#N/A</v>
      </c>
      <c r="AK45" s="6" t="e">
        <f>VLOOKUP(H45,PortConfigOptions!$B$1:$R$89,13,FALSE)</f>
        <v>#N/A</v>
      </c>
      <c r="AL45" s="6" t="e">
        <f>VLOOKUP(H45,PortConfigOptions!$B$1:$R$89,14,FALSE)</f>
        <v>#N/A</v>
      </c>
      <c r="AM45" s="6" t="e">
        <f>VLOOKUP(H45,PortConfigOptions!$B$1:$R$89,15,FALSE)</f>
        <v>#N/A</v>
      </c>
      <c r="AN45" s="6" t="e">
        <f>VLOOKUP(H45,PortConfigOptions!$B$1:$R$89,16,FALSE)</f>
        <v>#N/A</v>
      </c>
      <c r="AO45" s="6" t="e">
        <f>VLOOKUP(H45,PortConfigOptions!$B$1:$R$89,17,FALSE)</f>
        <v>#N/A</v>
      </c>
      <c r="AS45" s="7" t="s">
        <v>58</v>
      </c>
      <c r="AV45" s="6" t="s">
        <v>170</v>
      </c>
    </row>
    <row r="46" spans="1:48" x14ac:dyDescent="0.25">
      <c r="A46" s="6">
        <v>122</v>
      </c>
      <c r="B46" s="7">
        <v>81</v>
      </c>
      <c r="D46" s="7" t="s">
        <v>216</v>
      </c>
      <c r="E46" s="7" t="s">
        <v>6</v>
      </c>
      <c r="F46" s="7" t="s">
        <v>251</v>
      </c>
      <c r="G46" s="7" t="s">
        <v>216</v>
      </c>
      <c r="H46" s="6" t="s">
        <v>216</v>
      </c>
      <c r="I46" s="6" t="e">
        <v>#N/A</v>
      </c>
      <c r="J46" s="6" t="e">
        <v>#N/A</v>
      </c>
      <c r="K46" s="6" t="e">
        <v>#N/A</v>
      </c>
      <c r="L46" s="6" t="e">
        <v>#N/A</v>
      </c>
      <c r="M46" s="7" t="e">
        <v>#N/A</v>
      </c>
      <c r="N46" s="6" t="e">
        <v>#N/A</v>
      </c>
      <c r="O46" s="6" t="e">
        <v>#N/A</v>
      </c>
      <c r="P46" s="7" t="e">
        <v>#N/A</v>
      </c>
      <c r="Q46" s="7" t="e">
        <v>#N/A</v>
      </c>
      <c r="R46" s="7" t="e">
        <v>#N/A</v>
      </c>
      <c r="S46" s="7" t="e">
        <v>#N/A</v>
      </c>
      <c r="T46" s="7" t="e">
        <v>#N/A</v>
      </c>
      <c r="U46" s="7" t="e">
        <v>#N/A</v>
      </c>
      <c r="V46" s="6" t="e">
        <v>#N/A</v>
      </c>
      <c r="W46" s="6" t="e">
        <v>#N/A</v>
      </c>
      <c r="X46" s="7" t="e">
        <v>#N/A</v>
      </c>
      <c r="Z46" s="6" t="e">
        <f>VLOOKUP(H46,PortConfigOptions!$B$1:$R$89,2,FALSE)</f>
        <v>#N/A</v>
      </c>
      <c r="AA46" s="6" t="e">
        <f>VLOOKUP(H46,PortConfigOptions!$B$1:$R$89,3,FALSE)</f>
        <v>#N/A</v>
      </c>
      <c r="AB46" s="6" t="e">
        <f>VLOOKUP(H46,PortConfigOptions!$B$1:$R$89,4,FALSE)</f>
        <v>#N/A</v>
      </c>
      <c r="AC46" s="6" t="e">
        <f>VLOOKUP(H46,PortConfigOptions!$B$1:$R$89,5,FALSE)</f>
        <v>#N/A</v>
      </c>
      <c r="AD46" s="6" t="e">
        <f>VLOOKUP(H46,PortConfigOptions!$B$1:$R$89,6,FALSE)</f>
        <v>#N/A</v>
      </c>
      <c r="AE46" s="6" t="e">
        <f>VLOOKUP(H46,PortConfigOptions!$B$1:$R$89,7,FALSE)</f>
        <v>#N/A</v>
      </c>
      <c r="AF46" s="6" t="e">
        <f>VLOOKUP(H46,PortConfigOptions!$B$1:$R$89,8,FALSE)</f>
        <v>#N/A</v>
      </c>
      <c r="AG46" s="6" t="e">
        <f>VLOOKUP(H46,PortConfigOptions!$B$1:$R$89,9,FALSE)</f>
        <v>#N/A</v>
      </c>
      <c r="AH46" s="6" t="e">
        <f>VLOOKUP(H46,PortConfigOptions!$B$1:$R$89,10,FALSE)</f>
        <v>#N/A</v>
      </c>
      <c r="AI46" s="6" t="e">
        <f>VLOOKUP(H46,PortConfigOptions!$B$1:$R$89,11,FALSE)</f>
        <v>#N/A</v>
      </c>
      <c r="AJ46" s="6" t="e">
        <f>VLOOKUP(H46,PortConfigOptions!$B$1:$R$89,12,FALSE)</f>
        <v>#N/A</v>
      </c>
      <c r="AK46" s="6" t="e">
        <f>VLOOKUP(H46,PortConfigOptions!$B$1:$R$89,13,FALSE)</f>
        <v>#N/A</v>
      </c>
      <c r="AL46" s="6" t="e">
        <f>VLOOKUP(H46,PortConfigOptions!$B$1:$R$89,14,FALSE)</f>
        <v>#N/A</v>
      </c>
      <c r="AM46" s="6" t="e">
        <f>VLOOKUP(H46,PortConfigOptions!$B$1:$R$89,15,FALSE)</f>
        <v>#N/A</v>
      </c>
      <c r="AN46" s="6" t="e">
        <f>VLOOKUP(H46,PortConfigOptions!$B$1:$R$89,16,FALSE)</f>
        <v>#N/A</v>
      </c>
      <c r="AO46" s="6" t="e">
        <f>VLOOKUP(H46,PortConfigOptions!$B$1:$R$89,17,FALSE)</f>
        <v>#N/A</v>
      </c>
      <c r="AS46" s="7" t="s">
        <v>272</v>
      </c>
      <c r="AV46" s="6" t="s">
        <v>216</v>
      </c>
    </row>
    <row r="47" spans="1:48" x14ac:dyDescent="0.25">
      <c r="A47" s="6">
        <v>60</v>
      </c>
      <c r="B47" s="7">
        <v>70</v>
      </c>
      <c r="D47" s="7" t="s">
        <v>118</v>
      </c>
      <c r="E47" s="7" t="s">
        <v>395</v>
      </c>
      <c r="F47" s="7" t="s">
        <v>243</v>
      </c>
      <c r="G47" s="7" t="s">
        <v>119</v>
      </c>
      <c r="H47" s="6" t="s">
        <v>321</v>
      </c>
      <c r="I47" s="6" t="b">
        <v>0</v>
      </c>
      <c r="J47" s="6" t="b">
        <v>0</v>
      </c>
      <c r="K47" s="6" t="b">
        <v>0</v>
      </c>
      <c r="L47" s="6" t="s">
        <v>699</v>
      </c>
      <c r="M47" s="7" t="s">
        <v>707</v>
      </c>
      <c r="N47" s="6" t="s">
        <v>734</v>
      </c>
      <c r="O47" s="7" t="b">
        <v>0</v>
      </c>
      <c r="P47" s="7" t="b">
        <v>0</v>
      </c>
      <c r="Q47" s="7" t="b">
        <v>0</v>
      </c>
      <c r="R47" s="7" t="b">
        <v>0</v>
      </c>
      <c r="S47" s="7" t="b">
        <v>0</v>
      </c>
      <c r="T47" s="7" t="s">
        <v>737</v>
      </c>
      <c r="U47" s="7" t="b">
        <v>0</v>
      </c>
      <c r="V47" s="6" t="s">
        <v>762</v>
      </c>
      <c r="W47" s="6" t="s">
        <v>762</v>
      </c>
      <c r="X47" s="7" t="s">
        <v>748</v>
      </c>
      <c r="Z47" s="6" t="str">
        <f>VLOOKUP(H47,PortConfigOptions!$B$1:$R$89,2,FALSE)</f>
        <v>TRUE, FALSE</v>
      </c>
      <c r="AA47" s="6" t="str">
        <f>VLOOKUP(H47,PortConfigOptions!$B$1:$R$89,3,FALSE)</f>
        <v>TRUE, FALSE</v>
      </c>
      <c r="AB47" s="6" t="str">
        <f>VLOOKUP(H47,PortConfigOptions!$B$1:$R$89,4,FALSE)</f>
        <v>TRUE, FALSE</v>
      </c>
      <c r="AC47" s="6" t="str">
        <f>VLOOKUP(H47,PortConfigOptions!$B$1:$R$89,5,FALSE)</f>
        <v>PORT_PIN_LEVEL_LOW, PORT_PIN_LEVEL_HIGH</v>
      </c>
      <c r="AD47" s="6" t="str">
        <f>VLOOKUP(H47,PortConfigOptions!$B$1:$R$89,6,FALSE)</f>
        <v>TAUJ0I1_ALT1_IN, TAUJ0O1_ALT1_OUT, SENT3SPCO_ALT2_OUT, TAUD1ODI14_ALT3_IN, TAUD1O14_ALT3_OUT, ADCD0CNV2_ALT4_OUT, PSI50DOUT_ALT5_OUT, RLIN30TX_ALT6_OUT, DIO</v>
      </c>
      <c r="AE47" s="6" t="str">
        <f>VLOOKUP(H47,PortConfigOptions!$B$1:$R$89,7,FALSE)</f>
        <v>PORT_PIN_OUT, PORT_PIN_IN</v>
      </c>
      <c r="AF47" s="6" t="str">
        <f>VLOOKUP(H47,PortConfigOptions!$B$1:$R$89,8,FALSE)</f>
        <v>TRUE, FALSE</v>
      </c>
      <c r="AG47" s="6" t="str">
        <f>VLOOKUP(H47,PortConfigOptions!$B$1:$R$89,9,FALSE)</f>
        <v>TRUE, FALSE</v>
      </c>
      <c r="AH47" s="6" t="str">
        <f>VLOOKUP(H47,PortConfigOptions!$B$1:$R$89,10,FALSE)</f>
        <v>TRUE, FALSE</v>
      </c>
      <c r="AI47" s="6" t="str">
        <f>VLOOKUP(H47,PortConfigOptions!$B$1:$R$89,11,FALSE)</f>
        <v>TRUE, FALSE</v>
      </c>
      <c r="AJ47" s="6" t="str">
        <f>VLOOKUP(H47,PortConfigOptions!$B$1:$R$89,12,FALSE)</f>
        <v>TRUE, FALSE</v>
      </c>
      <c r="AK47" s="6" t="str">
        <f>VLOOKUP(H47,PortConfigOptions!$B$1:$R$89,13,FALSE)</f>
        <v>OpenDrain_PushPull, OpenDrain_N_Channel, OpenDrain_P_Channel</v>
      </c>
      <c r="AL47" s="6" t="str">
        <f>VLOOKUP(H47,PortConfigOptions!$B$1:$R$89,14,FALSE)</f>
        <v>TRUE, FALSE</v>
      </c>
      <c r="AM47" s="6" t="str">
        <f>VLOOKUP(H47,PortConfigOptions!$B$1:$R$89,15,FALSE)</f>
        <v>SLOW, FAST, MIDDLE_0, MIDDLE_1</v>
      </c>
      <c r="AN47" s="6" t="str">
        <f>VLOOKUP(H47,PortConfigOptions!$B$1:$R$89,16,FALSE)</f>
        <v>SLOW, FAST, MIDDLE</v>
      </c>
      <c r="AO47" s="6" t="str">
        <f>VLOOKUP(H47,PortConfigOptions!$B$1:$R$89,17,FALSE)</f>
        <v>TYPE_1_SUPP_PISA, TYPE_2_SUPP_PISA</v>
      </c>
      <c r="AV47" s="6" t="s">
        <v>120</v>
      </c>
    </row>
    <row r="48" spans="1:48" x14ac:dyDescent="0.25">
      <c r="A48" s="6">
        <v>80</v>
      </c>
      <c r="B48" s="7">
        <v>71</v>
      </c>
      <c r="D48" s="7" t="s">
        <v>499</v>
      </c>
      <c r="E48" s="7" t="s">
        <v>500</v>
      </c>
      <c r="F48" s="7" t="s">
        <v>249</v>
      </c>
      <c r="G48" s="7" t="s">
        <v>701</v>
      </c>
      <c r="H48" s="6" t="s">
        <v>333</v>
      </c>
      <c r="I48" s="6" t="b">
        <v>0</v>
      </c>
      <c r="J48" s="6" t="b">
        <v>0</v>
      </c>
      <c r="K48" s="6" t="b">
        <v>1</v>
      </c>
      <c r="L48" s="6" t="s">
        <v>749</v>
      </c>
      <c r="M48" s="7" t="s">
        <v>701</v>
      </c>
      <c r="N48" s="6" t="s">
        <v>734</v>
      </c>
      <c r="O48" s="7" t="b">
        <v>0</v>
      </c>
      <c r="P48" s="7" t="b">
        <v>1</v>
      </c>
      <c r="Q48" s="7" t="b">
        <v>0</v>
      </c>
      <c r="R48" s="7" t="b">
        <v>0</v>
      </c>
      <c r="S48" s="7" t="b">
        <v>0</v>
      </c>
      <c r="T48" s="7" t="s">
        <v>737</v>
      </c>
      <c r="U48" s="7" t="b">
        <v>0</v>
      </c>
      <c r="V48" s="6" t="s">
        <v>762</v>
      </c>
      <c r="W48" s="6" t="s">
        <v>762</v>
      </c>
      <c r="X48" s="19" t="s">
        <v>6</v>
      </c>
      <c r="Z48" s="6" t="str">
        <f>VLOOKUP(H48,PortConfigOptions!$B$1:$R$89,2,FALSE)</f>
        <v>TRUE, FALSE</v>
      </c>
      <c r="AA48" s="6" t="s">
        <v>763</v>
      </c>
      <c r="AB48" s="6" t="str">
        <f>VLOOKUP(H48,PortConfigOptions!$B$1:$R$89,4,FALSE)</f>
        <v>TRUE, FALSE</v>
      </c>
      <c r="AC48" s="6" t="str">
        <f>VLOOKUP(H48,PortConfigOptions!$B$1:$R$89,5,FALSE)</f>
        <v>PORT_PIN_LEVEL_LOW, PORT_PIN_LEVEL_HIGH</v>
      </c>
      <c r="AD48" s="6" t="str">
        <f>VLOOKUP(H48,PortConfigOptions!$B$1:$R$89,6,FALSE)</f>
        <v>TAUJ0I2_ALT1_IN, TAUJ0O2_ALT1_OUT, SENT4RX_ALT2_IN, SENT4SPCO_ALT2_OUT, TAUD1ODI15_ALT3_IN, TAUD1O15_ALT3_OUT, ADCD0CNV3_ALT4_OUT, INTP4_ALT6_IN, RLIN31RX_ALT6_IN, DIO</v>
      </c>
      <c r="AE48" s="6" t="str">
        <f>VLOOKUP(H48,PortConfigOptions!$B$1:$R$89,7,FALSE)</f>
        <v>PORT_PIN_OUT, PORT_PIN_IN</v>
      </c>
      <c r="AF48" s="6" t="str">
        <f>VLOOKUP(H48,PortConfigOptions!$B$1:$R$89,8,FALSE)</f>
        <v>TRUE, FALSE</v>
      </c>
      <c r="AG48" s="6" t="str">
        <f>VLOOKUP(H48,PortConfigOptions!$B$1:$R$89,9,FALSE)</f>
        <v>TRUE, FALSE</v>
      </c>
      <c r="AH48" s="6" t="str">
        <f>VLOOKUP(H48,PortConfigOptions!$B$1:$R$89,10,FALSE)</f>
        <v>TRUE, FALSE</v>
      </c>
      <c r="AI48" s="6" t="str">
        <f>VLOOKUP(H48,PortConfigOptions!$B$1:$R$89,11,FALSE)</f>
        <v>TRUE, FALSE</v>
      </c>
      <c r="AJ48" s="6" t="str">
        <f>VLOOKUP(H48,PortConfigOptions!$B$1:$R$89,12,FALSE)</f>
        <v>TRUE, FALSE</v>
      </c>
      <c r="AK48" s="6" t="str">
        <f>VLOOKUP(H48,PortConfigOptions!$B$1:$R$89,13,FALSE)</f>
        <v>OpenDrain_PushPull, OpenDrain_N_Channel, OpenDrain_P_Channel</v>
      </c>
      <c r="AL48" s="6" t="str">
        <f>VLOOKUP(H48,PortConfigOptions!$B$1:$R$89,14,FALSE)</f>
        <v>TRUE, FALSE</v>
      </c>
      <c r="AM48" s="6" t="str">
        <f>VLOOKUP(H48,PortConfigOptions!$B$1:$R$89,15,FALSE)</f>
        <v>SLOW, FAST, MIDDLE_0, MIDDLE_1</v>
      </c>
      <c r="AN48" s="6" t="str">
        <f>VLOOKUP(H48,PortConfigOptions!$B$1:$R$89,16,FALSE)</f>
        <v>SLOW, FAST, MIDDLE</v>
      </c>
      <c r="AO48" s="6">
        <f>VLOOKUP(H48,PortConfigOptions!$B$1:$R$89,17,FALSE)</f>
        <v>0</v>
      </c>
      <c r="AV48" s="6" t="s">
        <v>167</v>
      </c>
    </row>
    <row r="49" spans="1:48" x14ac:dyDescent="0.25">
      <c r="A49" s="6">
        <v>124</v>
      </c>
      <c r="B49" s="7">
        <v>85</v>
      </c>
      <c r="D49" s="19" t="s">
        <v>6</v>
      </c>
      <c r="E49" s="7" t="s">
        <v>6</v>
      </c>
      <c r="F49" s="7" t="s">
        <v>701</v>
      </c>
      <c r="G49" s="6" t="s">
        <v>348</v>
      </c>
      <c r="H49" s="6" t="s">
        <v>348</v>
      </c>
      <c r="I49" s="6" t="b">
        <v>0</v>
      </c>
      <c r="J49" s="6" t="b">
        <v>0</v>
      </c>
      <c r="K49" s="6" t="b">
        <v>0</v>
      </c>
      <c r="L49" s="6" t="s">
        <v>699</v>
      </c>
      <c r="M49" s="7" t="s">
        <v>701</v>
      </c>
      <c r="N49" s="7" t="s">
        <v>734</v>
      </c>
      <c r="O49" s="6" t="b">
        <v>0</v>
      </c>
      <c r="P49" s="7" t="b">
        <v>0</v>
      </c>
      <c r="Q49" s="7" t="b">
        <v>0</v>
      </c>
      <c r="R49" s="7" t="b">
        <v>0</v>
      </c>
      <c r="S49" s="7" t="b">
        <v>0</v>
      </c>
      <c r="T49" s="7" t="s">
        <v>737</v>
      </c>
      <c r="U49" s="7" t="b">
        <v>0</v>
      </c>
      <c r="V49" s="6" t="s">
        <v>762</v>
      </c>
      <c r="W49" s="6" t="s">
        <v>762</v>
      </c>
      <c r="X49" s="19" t="s">
        <v>6</v>
      </c>
      <c r="Z49" s="6" t="str">
        <f>VLOOKUP(H49,PortConfigOptions!$B$1:$R$89,2,FALSE)</f>
        <v>TRUE, FALSE</v>
      </c>
      <c r="AA49" s="6" t="str">
        <f>VLOOKUP(H49,PortConfigOptions!$B$1:$R$89,3,FALSE)</f>
        <v>TRUE, FALSE</v>
      </c>
      <c r="AB49" s="6" t="str">
        <f>VLOOKUP(H49,PortConfigOptions!$B$1:$R$89,4,FALSE)</f>
        <v>TRUE, FALSE</v>
      </c>
      <c r="AC49" s="6" t="str">
        <f>VLOOKUP(H49,PortConfigOptions!$B$1:$R$89,5,FALSE)</f>
        <v>PORT_PIN_LEVEL_LOW, PORT_PIN_LEVEL_HIGH</v>
      </c>
      <c r="AD49" s="6" t="str">
        <f>VLOOKUP(H49,PortConfigOptions!$B$1:$R$89,6,FALSE)</f>
        <v>ADCD1CNV0_ALT2_OUT, DIO</v>
      </c>
      <c r="AE49" s="6" t="str">
        <f>VLOOKUP(H49,PortConfigOptions!$B$1:$R$89,7,FALSE)</f>
        <v>PORT_PIN_OUT, PORT_PIN_IN</v>
      </c>
      <c r="AF49" s="6" t="str">
        <f>VLOOKUP(H49,PortConfigOptions!$B$1:$R$89,8,FALSE)</f>
        <v>TRUE, FALSE</v>
      </c>
      <c r="AG49" s="6" t="str">
        <f>VLOOKUP(H49,PortConfigOptions!$B$1:$R$89,9,FALSE)</f>
        <v>TRUE, FALSE</v>
      </c>
      <c r="AH49" s="6" t="str">
        <f>VLOOKUP(H49,PortConfigOptions!$B$1:$R$89,10,FALSE)</f>
        <v>TRUE, FALSE</v>
      </c>
      <c r="AI49" s="6" t="str">
        <f>VLOOKUP(H49,PortConfigOptions!$B$1:$R$89,11,FALSE)</f>
        <v>TRUE, FALSE</v>
      </c>
      <c r="AJ49" s="6" t="str">
        <f>VLOOKUP(H49,PortConfigOptions!$B$1:$R$89,12,FALSE)</f>
        <v>TRUE, FALSE</v>
      </c>
      <c r="AK49" s="6" t="str">
        <f>VLOOKUP(H49,PortConfigOptions!$B$1:$R$89,13,FALSE)</f>
        <v>OpenDrain_PushPull, OpenDrain_N_Channel, OpenDrain_P_Channel</v>
      </c>
      <c r="AL49" s="6" t="str">
        <f>VLOOKUP(H49,PortConfigOptions!$B$1:$R$89,14,FALSE)</f>
        <v>TRUE, FALSE</v>
      </c>
      <c r="AM49" s="6" t="str">
        <f>VLOOKUP(H49,PortConfigOptions!$B$1:$R$89,15,FALSE)</f>
        <v>SLOW, FAST, MIDDLE_0, MIDDLE_1</v>
      </c>
      <c r="AN49" s="6" t="str">
        <f>VLOOKUP(H49,PortConfigOptions!$B$1:$R$89,16,FALSE)</f>
        <v>SLOW, FAST, MIDDLE</v>
      </c>
      <c r="AO49" s="6">
        <f>VLOOKUP(H49,PortConfigOptions!$B$1:$R$89,17,FALSE)</f>
        <v>0</v>
      </c>
      <c r="AS49" s="7" t="s">
        <v>272</v>
      </c>
      <c r="AV49" s="6" t="s">
        <v>219</v>
      </c>
    </row>
    <row r="50" spans="1:48" x14ac:dyDescent="0.25">
      <c r="A50" s="6">
        <v>137</v>
      </c>
      <c r="B50" s="7">
        <v>86</v>
      </c>
      <c r="D50" s="7" t="s">
        <v>6</v>
      </c>
      <c r="E50" s="7" t="s">
        <v>6</v>
      </c>
      <c r="F50" s="7" t="s">
        <v>701</v>
      </c>
      <c r="G50" s="6" t="s">
        <v>288</v>
      </c>
      <c r="H50" s="6" t="s">
        <v>288</v>
      </c>
      <c r="I50" s="6" t="b">
        <v>0</v>
      </c>
      <c r="J50" s="6" t="b">
        <v>0</v>
      </c>
      <c r="K50" s="6" t="b">
        <v>0</v>
      </c>
      <c r="L50" s="6" t="s">
        <v>699</v>
      </c>
      <c r="M50" s="7" t="s">
        <v>701</v>
      </c>
      <c r="N50" s="6" t="s">
        <v>734</v>
      </c>
      <c r="O50" s="6" t="b">
        <v>0</v>
      </c>
      <c r="P50" s="7" t="b">
        <v>0</v>
      </c>
      <c r="Q50" s="7" t="b">
        <v>0</v>
      </c>
      <c r="R50" s="7" t="b">
        <v>0</v>
      </c>
      <c r="S50" s="7" t="b">
        <v>0</v>
      </c>
      <c r="T50" s="7" t="s">
        <v>737</v>
      </c>
      <c r="U50" s="7" t="b">
        <v>0</v>
      </c>
      <c r="V50" s="6" t="s">
        <v>762</v>
      </c>
      <c r="W50" s="6" t="s">
        <v>762</v>
      </c>
      <c r="X50" s="19" t="s">
        <v>6</v>
      </c>
      <c r="Z50" s="6" t="str">
        <f>VLOOKUP(H50,PortConfigOptions!$B$1:$R$89,2,FALSE)</f>
        <v>TRUE, FALSE</v>
      </c>
      <c r="AA50" s="6" t="str">
        <f>VLOOKUP(H50,PortConfigOptions!$B$1:$R$89,3,FALSE)</f>
        <v>TRUE, FALSE</v>
      </c>
      <c r="AB50" s="6" t="str">
        <f>VLOOKUP(H50,PortConfigOptions!$B$1:$R$89,4,FALSE)</f>
        <v>TRUE, FALSE</v>
      </c>
      <c r="AC50" s="6" t="str">
        <f>VLOOKUP(H50,PortConfigOptions!$B$1:$R$89,5,FALSE)</f>
        <v>PORT_PIN_LEVEL_LOW, PORT_PIN_LEVEL_HIGH</v>
      </c>
      <c r="AD50" s="6" t="str">
        <f>VLOOKUP(H50,PortConfigOptions!$B$1:$R$89,6,FALSE)</f>
        <v>ADCD1CNV2_ALT2_OUT, DIO</v>
      </c>
      <c r="AE50" s="6" t="str">
        <f>VLOOKUP(H50,PortConfigOptions!$B$1:$R$89,7,FALSE)</f>
        <v>PORT_PIN_OUT, PORT_PIN_IN</v>
      </c>
      <c r="AF50" s="6" t="str">
        <f>VLOOKUP(H50,PortConfigOptions!$B$1:$R$89,8,FALSE)</f>
        <v>TRUE, FALSE</v>
      </c>
      <c r="AG50" s="6" t="str">
        <f>VLOOKUP(H50,PortConfigOptions!$B$1:$R$89,9,FALSE)</f>
        <v>TRUE, FALSE</v>
      </c>
      <c r="AH50" s="6" t="str">
        <f>VLOOKUP(H50,PortConfigOptions!$B$1:$R$89,10,FALSE)</f>
        <v>TRUE, FALSE</v>
      </c>
      <c r="AI50" s="6" t="str">
        <f>VLOOKUP(H50,PortConfigOptions!$B$1:$R$89,11,FALSE)</f>
        <v>TRUE, FALSE</v>
      </c>
      <c r="AJ50" s="6" t="str">
        <f>VLOOKUP(H50,PortConfigOptions!$B$1:$R$89,12,FALSE)</f>
        <v>TRUE, FALSE</v>
      </c>
      <c r="AK50" s="6" t="str">
        <f>VLOOKUP(H50,PortConfigOptions!$B$1:$R$89,13,FALSE)</f>
        <v>OpenDrain_PushPull, OpenDrain_N_Channel, OpenDrain_P_Channel</v>
      </c>
      <c r="AL50" s="6" t="str">
        <f>VLOOKUP(H50,PortConfigOptions!$B$1:$R$89,14,FALSE)</f>
        <v>TRUE, FALSE</v>
      </c>
      <c r="AM50" s="6" t="str">
        <f>VLOOKUP(H50,PortConfigOptions!$B$1:$R$89,15,FALSE)</f>
        <v>SLOW, FAST, MIDDLE_0, MIDDLE_1</v>
      </c>
      <c r="AN50" s="6" t="str">
        <f>VLOOKUP(H50,PortConfigOptions!$B$1:$R$89,16,FALSE)</f>
        <v>SLOW, FAST, MIDDLE</v>
      </c>
      <c r="AO50" s="6">
        <f>VLOOKUP(H50,PortConfigOptions!$B$1:$R$89,17,FALSE)</f>
        <v>0</v>
      </c>
      <c r="AS50" s="7" t="s">
        <v>270</v>
      </c>
      <c r="AT50" s="7" t="s">
        <v>296</v>
      </c>
      <c r="AU50" s="6" t="s">
        <v>271</v>
      </c>
      <c r="AV50" s="6" t="s">
        <v>232</v>
      </c>
    </row>
    <row r="51" spans="1:48" x14ac:dyDescent="0.25">
      <c r="A51" s="6">
        <v>138</v>
      </c>
      <c r="B51" s="7">
        <v>87</v>
      </c>
      <c r="D51" s="7" t="s">
        <v>6</v>
      </c>
      <c r="E51" s="7" t="s">
        <v>6</v>
      </c>
      <c r="F51" s="7" t="s">
        <v>701</v>
      </c>
      <c r="G51" s="6" t="s">
        <v>289</v>
      </c>
      <c r="H51" s="6" t="s">
        <v>289</v>
      </c>
      <c r="I51" s="6" t="b">
        <v>0</v>
      </c>
      <c r="J51" s="6" t="b">
        <v>0</v>
      </c>
      <c r="K51" s="6" t="b">
        <v>0</v>
      </c>
      <c r="L51" s="6" t="s">
        <v>699</v>
      </c>
      <c r="M51" s="7" t="s">
        <v>701</v>
      </c>
      <c r="N51" s="6" t="s">
        <v>734</v>
      </c>
      <c r="O51" s="6" t="b">
        <v>0</v>
      </c>
      <c r="P51" s="7" t="b">
        <v>0</v>
      </c>
      <c r="Q51" s="7" t="b">
        <v>0</v>
      </c>
      <c r="R51" s="7" t="b">
        <v>0</v>
      </c>
      <c r="S51" s="7" t="b">
        <v>0</v>
      </c>
      <c r="T51" s="7" t="s">
        <v>737</v>
      </c>
      <c r="U51" s="7" t="b">
        <v>0</v>
      </c>
      <c r="V51" s="6" t="s">
        <v>762</v>
      </c>
      <c r="W51" s="6" t="s">
        <v>762</v>
      </c>
      <c r="X51" s="19" t="s">
        <v>6</v>
      </c>
      <c r="Z51" s="6" t="str">
        <f>VLOOKUP(H51,PortConfigOptions!$B$1:$R$89,2,FALSE)</f>
        <v>TRUE, FALSE</v>
      </c>
      <c r="AA51" s="6" t="str">
        <f>VLOOKUP(H51,PortConfigOptions!$B$1:$R$89,3,FALSE)</f>
        <v>TRUE, FALSE</v>
      </c>
      <c r="AB51" s="6" t="str">
        <f>VLOOKUP(H51,PortConfigOptions!$B$1:$R$89,4,FALSE)</f>
        <v>TRUE, FALSE</v>
      </c>
      <c r="AC51" s="6" t="str">
        <f>VLOOKUP(H51,PortConfigOptions!$B$1:$R$89,5,FALSE)</f>
        <v>PORT_PIN_LEVEL_LOW, PORT_PIN_LEVEL_HIGH</v>
      </c>
      <c r="AD51" s="6" t="str">
        <f>VLOOKUP(H51,PortConfigOptions!$B$1:$R$89,6,FALSE)</f>
        <v>ADCD1CNV3_ALT2_OUT, DIO</v>
      </c>
      <c r="AE51" s="6" t="str">
        <f>VLOOKUP(H51,PortConfigOptions!$B$1:$R$89,7,FALSE)</f>
        <v>PORT_PIN_OUT, PORT_PIN_IN</v>
      </c>
      <c r="AF51" s="6" t="str">
        <f>VLOOKUP(H51,PortConfigOptions!$B$1:$R$89,8,FALSE)</f>
        <v>TRUE, FALSE</v>
      </c>
      <c r="AG51" s="6" t="str">
        <f>VLOOKUP(H51,PortConfigOptions!$B$1:$R$89,9,FALSE)</f>
        <v>TRUE, FALSE</v>
      </c>
      <c r="AH51" s="6" t="str">
        <f>VLOOKUP(H51,PortConfigOptions!$B$1:$R$89,10,FALSE)</f>
        <v>TRUE, FALSE</v>
      </c>
      <c r="AI51" s="6" t="str">
        <f>VLOOKUP(H51,PortConfigOptions!$B$1:$R$89,11,FALSE)</f>
        <v>TRUE, FALSE</v>
      </c>
      <c r="AJ51" s="6" t="str">
        <f>VLOOKUP(H51,PortConfigOptions!$B$1:$R$89,12,FALSE)</f>
        <v>TRUE, FALSE</v>
      </c>
      <c r="AK51" s="6" t="str">
        <f>VLOOKUP(H51,PortConfigOptions!$B$1:$R$89,13,FALSE)</f>
        <v>OpenDrain_PushPull, OpenDrain_N_Channel, OpenDrain_P_Channel</v>
      </c>
      <c r="AL51" s="6" t="str">
        <f>VLOOKUP(H51,PortConfigOptions!$B$1:$R$89,14,FALSE)</f>
        <v>TRUE, FALSE</v>
      </c>
      <c r="AM51" s="6" t="str">
        <f>VLOOKUP(H51,PortConfigOptions!$B$1:$R$89,15,FALSE)</f>
        <v>SLOW, FAST, MIDDLE_0, MIDDLE_1</v>
      </c>
      <c r="AN51" s="6" t="str">
        <f>VLOOKUP(H51,PortConfigOptions!$B$1:$R$89,16,FALSE)</f>
        <v>SLOW, FAST, MIDDLE</v>
      </c>
      <c r="AO51" s="6">
        <f>VLOOKUP(H51,PortConfigOptions!$B$1:$R$89,17,FALSE)</f>
        <v>0</v>
      </c>
      <c r="AS51" s="7" t="s">
        <v>270</v>
      </c>
      <c r="AT51" s="7" t="s">
        <v>296</v>
      </c>
      <c r="AU51" s="6" t="s">
        <v>271</v>
      </c>
      <c r="AV51" s="6" t="s">
        <v>233</v>
      </c>
    </row>
    <row r="52" spans="1:48" x14ac:dyDescent="0.25">
      <c r="A52" s="6">
        <v>73</v>
      </c>
      <c r="B52" s="7">
        <v>88</v>
      </c>
      <c r="D52" s="7" t="s">
        <v>498</v>
      </c>
      <c r="E52" s="7" t="s">
        <v>497</v>
      </c>
      <c r="F52" s="7" t="s">
        <v>701</v>
      </c>
      <c r="G52" s="7" t="s">
        <v>153</v>
      </c>
      <c r="H52" s="6" t="s">
        <v>153</v>
      </c>
      <c r="I52" s="6" t="b">
        <v>0</v>
      </c>
      <c r="J52" s="6" t="b">
        <v>0</v>
      </c>
      <c r="K52" s="6" t="b">
        <v>0</v>
      </c>
      <c r="L52" s="11" t="s">
        <v>699</v>
      </c>
      <c r="M52" s="7" t="s">
        <v>701</v>
      </c>
      <c r="N52" s="6" t="s">
        <v>735</v>
      </c>
      <c r="O52" s="7" t="b">
        <v>0</v>
      </c>
      <c r="P52" s="7" t="b">
        <v>0</v>
      </c>
      <c r="Q52" s="7" t="b">
        <v>0</v>
      </c>
      <c r="R52" s="7" t="b">
        <v>0</v>
      </c>
      <c r="S52" s="7" t="b">
        <v>0</v>
      </c>
      <c r="T52" s="7" t="s">
        <v>736</v>
      </c>
      <c r="U52" s="7" t="b">
        <v>0</v>
      </c>
      <c r="V52" s="6" t="s">
        <v>762</v>
      </c>
      <c r="W52" s="6" t="s">
        <v>762</v>
      </c>
      <c r="X52" s="7" t="s">
        <v>748</v>
      </c>
      <c r="Z52" s="6" t="str">
        <f>VLOOKUP(H52,PortConfigOptions!$B$1:$R$89,2,FALSE)</f>
        <v>TRUE, FALSE</v>
      </c>
      <c r="AA52" s="6" t="str">
        <f>VLOOKUP(H52,PortConfigOptions!$B$1:$R$89,3,FALSE)</f>
        <v>TRUE, FALSE</v>
      </c>
      <c r="AB52" s="6" t="str">
        <f>VLOOKUP(H52,PortConfigOptions!$B$1:$R$89,4,FALSE)</f>
        <v>TRUE, FALSE</v>
      </c>
      <c r="AC52" s="6" t="str">
        <f>VLOOKUP(H52,PortConfigOptions!$B$1:$R$89,5,FALSE)</f>
        <v>PORT_PIN_LEVEL_LOW, PORT_PIN_LEVEL_HIGH</v>
      </c>
      <c r="AD52" s="6" t="str">
        <f>VLOOKUP(H52,PortConfigOptions!$B$1:$R$89,6,FALSE)</f>
        <v>OSTM0ODI_ALT1_IN, OSTM0O_ALT1_OUT, TAUD1ODI15_ALT2_IN, TAUD1O15_ALT2_OUT, TAUD2I7_ALT3_IN, INTP9_ALT4_IN, TAUD2O7_ALT4_OUT, DIO</v>
      </c>
      <c r="AE52" s="6" t="str">
        <f>VLOOKUP(H52,PortConfigOptions!$B$1:$R$89,7,FALSE)</f>
        <v>PORT_PIN_OUT, PORT_PIN_IN</v>
      </c>
      <c r="AF52" s="6" t="str">
        <f>VLOOKUP(H52,PortConfigOptions!$B$1:$R$89,8,FALSE)</f>
        <v>TRUE, FALSE</v>
      </c>
      <c r="AG52" s="6" t="str">
        <f>VLOOKUP(H52,PortConfigOptions!$B$1:$R$89,9,FALSE)</f>
        <v>TRUE, FALSE</v>
      </c>
      <c r="AH52" s="6" t="str">
        <f>VLOOKUP(H52,PortConfigOptions!$B$1:$R$89,10,FALSE)</f>
        <v>TRUE, FALSE</v>
      </c>
      <c r="AI52" s="6" t="str">
        <f>VLOOKUP(H52,PortConfigOptions!$B$1:$R$89,11,FALSE)</f>
        <v>TRUE, FALSE</v>
      </c>
      <c r="AJ52" s="6" t="str">
        <f>VLOOKUP(H52,PortConfigOptions!$B$1:$R$89,12,FALSE)</f>
        <v>TRUE, FALSE</v>
      </c>
      <c r="AK52" s="6" t="str">
        <f>VLOOKUP(H52,PortConfigOptions!$B$1:$R$89,13,FALSE)</f>
        <v>OpenDrain_PushPull, OpenDrain_N_Channel, OpenDrain_P_Channel</v>
      </c>
      <c r="AL52" s="6" t="str">
        <f>VLOOKUP(H52,PortConfigOptions!$B$1:$R$89,14,FALSE)</f>
        <v>TRUE, FALSE</v>
      </c>
      <c r="AM52" s="6" t="str">
        <f>VLOOKUP(H52,PortConfigOptions!$B$1:$R$89,15,FALSE)</f>
        <v>SLOW, FAST, MIDDLE_0, MIDDLE_1</v>
      </c>
      <c r="AN52" s="6" t="str">
        <f>VLOOKUP(H52,PortConfigOptions!$B$1:$R$89,16,FALSE)</f>
        <v>SLOW, FAST, MIDDLE</v>
      </c>
      <c r="AO52" s="6" t="str">
        <f>VLOOKUP(H52,PortConfigOptions!$B$1:$R$89,17,FALSE)</f>
        <v>TYPE_1_SUPP_PISA, TYPE_2_SUPP_PISA</v>
      </c>
      <c r="AV52" s="6" t="s">
        <v>154</v>
      </c>
    </row>
    <row r="53" spans="1:48" x14ac:dyDescent="0.25">
      <c r="A53" s="6">
        <v>139</v>
      </c>
      <c r="B53" s="7">
        <v>89</v>
      </c>
      <c r="D53" s="7" t="s">
        <v>6</v>
      </c>
      <c r="E53" s="7" t="s">
        <v>6</v>
      </c>
      <c r="F53" s="7" t="s">
        <v>701</v>
      </c>
      <c r="G53" s="6" t="s">
        <v>290</v>
      </c>
      <c r="H53" s="6" t="s">
        <v>290</v>
      </c>
      <c r="I53" s="6" t="b">
        <v>0</v>
      </c>
      <c r="J53" s="6" t="b">
        <v>0</v>
      </c>
      <c r="K53" s="6" t="b">
        <v>0</v>
      </c>
      <c r="L53" s="6" t="s">
        <v>699</v>
      </c>
      <c r="M53" s="7" t="s">
        <v>701</v>
      </c>
      <c r="N53" s="6" t="s">
        <v>734</v>
      </c>
      <c r="O53" s="6" t="b">
        <v>0</v>
      </c>
      <c r="P53" s="7" t="b">
        <v>0</v>
      </c>
      <c r="Q53" s="7" t="b">
        <v>0</v>
      </c>
      <c r="R53" s="7" t="b">
        <v>0</v>
      </c>
      <c r="S53" s="7" t="b">
        <v>0</v>
      </c>
      <c r="T53" s="7" t="s">
        <v>737</v>
      </c>
      <c r="U53" s="7" t="b">
        <v>0</v>
      </c>
      <c r="V53" s="6" t="s">
        <v>762</v>
      </c>
      <c r="W53" s="6" t="s">
        <v>762</v>
      </c>
      <c r="X53" s="19" t="s">
        <v>6</v>
      </c>
      <c r="Z53" s="6" t="str">
        <f>VLOOKUP(H53,PortConfigOptions!$B$1:$R$89,2,FALSE)</f>
        <v>TRUE, FALSE</v>
      </c>
      <c r="AA53" s="6" t="str">
        <f>VLOOKUP(H53,PortConfigOptions!$B$1:$R$89,3,FALSE)</f>
        <v>TRUE, FALSE</v>
      </c>
      <c r="AB53" s="6" t="str">
        <f>VLOOKUP(H53,PortConfigOptions!$B$1:$R$89,4,FALSE)</f>
        <v>TRUE, FALSE</v>
      </c>
      <c r="AC53" s="6" t="str">
        <f>VLOOKUP(H53,PortConfigOptions!$B$1:$R$89,5,FALSE)</f>
        <v>PORT_PIN_LEVEL_LOW, PORT_PIN_LEVEL_HIGH</v>
      </c>
      <c r="AD53" s="6" t="str">
        <f>VLOOKUP(H53,PortConfigOptions!$B$1:$R$89,6,FALSE)</f>
        <v>ADCD1CNV4_ALT2_OUT, DIO</v>
      </c>
      <c r="AE53" s="6" t="str">
        <f>VLOOKUP(H53,PortConfigOptions!$B$1:$R$89,7,FALSE)</f>
        <v>PORT_PIN_OUT, PORT_PIN_IN</v>
      </c>
      <c r="AF53" s="6" t="str">
        <f>VLOOKUP(H53,PortConfigOptions!$B$1:$R$89,8,FALSE)</f>
        <v>TRUE, FALSE</v>
      </c>
      <c r="AG53" s="6" t="str">
        <f>VLOOKUP(H53,PortConfigOptions!$B$1:$R$89,9,FALSE)</f>
        <v>TRUE, FALSE</v>
      </c>
      <c r="AH53" s="6" t="str">
        <f>VLOOKUP(H53,PortConfigOptions!$B$1:$R$89,10,FALSE)</f>
        <v>TRUE, FALSE</v>
      </c>
      <c r="AI53" s="6" t="str">
        <f>VLOOKUP(H53,PortConfigOptions!$B$1:$R$89,11,FALSE)</f>
        <v>TRUE, FALSE</v>
      </c>
      <c r="AJ53" s="6" t="str">
        <f>VLOOKUP(H53,PortConfigOptions!$B$1:$R$89,12,FALSE)</f>
        <v>TRUE, FALSE</v>
      </c>
      <c r="AK53" s="6" t="str">
        <f>VLOOKUP(H53,PortConfigOptions!$B$1:$R$89,13,FALSE)</f>
        <v>OpenDrain_PushPull, OpenDrain_N_Channel, OpenDrain_P_Channel</v>
      </c>
      <c r="AL53" s="6" t="str">
        <f>VLOOKUP(H53,PortConfigOptions!$B$1:$R$89,14,FALSE)</f>
        <v>TRUE, FALSE</v>
      </c>
      <c r="AM53" s="6" t="str">
        <f>VLOOKUP(H53,PortConfigOptions!$B$1:$R$89,15,FALSE)</f>
        <v>SLOW, FAST, MIDDLE_0, MIDDLE_1</v>
      </c>
      <c r="AN53" s="6" t="str">
        <f>VLOOKUP(H53,PortConfigOptions!$B$1:$R$89,16,FALSE)</f>
        <v>SLOW, FAST, MIDDLE</v>
      </c>
      <c r="AO53" s="6">
        <f>VLOOKUP(H53,PortConfigOptions!$B$1:$R$89,17,FALSE)</f>
        <v>0</v>
      </c>
      <c r="AS53" s="7" t="s">
        <v>270</v>
      </c>
      <c r="AT53" s="7" t="s">
        <v>296</v>
      </c>
      <c r="AU53" s="6" t="s">
        <v>271</v>
      </c>
      <c r="AV53" s="6" t="s">
        <v>234</v>
      </c>
    </row>
    <row r="54" spans="1:48" x14ac:dyDescent="0.25">
      <c r="A54" s="6">
        <v>127</v>
      </c>
      <c r="B54" s="7">
        <v>73</v>
      </c>
      <c r="D54" s="7" t="s">
        <v>496</v>
      </c>
      <c r="E54" s="7" t="s">
        <v>495</v>
      </c>
      <c r="F54" s="7" t="s">
        <v>252</v>
      </c>
      <c r="G54" s="7" t="s">
        <v>701</v>
      </c>
      <c r="H54" s="6" t="s">
        <v>347</v>
      </c>
      <c r="I54" s="6" t="b">
        <v>0</v>
      </c>
      <c r="J54" s="6" t="b">
        <v>0</v>
      </c>
      <c r="K54" s="6" t="b">
        <v>1</v>
      </c>
      <c r="L54" s="6" t="s">
        <v>749</v>
      </c>
      <c r="M54" s="7" t="s">
        <v>701</v>
      </c>
      <c r="N54" s="6" t="s">
        <v>734</v>
      </c>
      <c r="O54" s="7" t="b">
        <v>0</v>
      </c>
      <c r="P54" s="7" t="b">
        <v>1</v>
      </c>
      <c r="Q54" s="7" t="b">
        <v>0</v>
      </c>
      <c r="R54" s="7" t="b">
        <v>0</v>
      </c>
      <c r="S54" s="7" t="b">
        <v>0</v>
      </c>
      <c r="T54" s="7" t="s">
        <v>737</v>
      </c>
      <c r="U54" s="7" t="b">
        <v>0</v>
      </c>
      <c r="V54" s="6" t="s">
        <v>762</v>
      </c>
      <c r="W54" s="6" t="s">
        <v>762</v>
      </c>
      <c r="X54" s="19" t="s">
        <v>6</v>
      </c>
      <c r="Z54" s="6" t="str">
        <f>VLOOKUP(H54,PortConfigOptions!$B$1:$R$89,2,FALSE)</f>
        <v>TRUE, FALSE</v>
      </c>
      <c r="AA54" s="6" t="str">
        <f>VLOOKUP(H54,PortConfigOptions!$B$1:$R$89,3,FALSE)</f>
        <v>TRUE, FALSE</v>
      </c>
      <c r="AB54" s="6" t="str">
        <f>VLOOKUP(H54,PortConfigOptions!$B$1:$R$89,4,FALSE)</f>
        <v>TRUE, FALSE</v>
      </c>
      <c r="AC54" s="6" t="str">
        <f>VLOOKUP(H54,PortConfigOptions!$B$1:$R$89,5,FALSE)</f>
        <v>PORT_PIN_LEVEL_LOW, PORT_PIN_LEVEL_HIGH</v>
      </c>
      <c r="AD54" s="6" t="str">
        <f>VLOOKUP(H54,PortConfigOptions!$B$1:$R$89,6,FALSE)</f>
        <v>SCI30RX_ALT1_IN, INTP0_ALT1_IN, TAPA1ESO_ALT2_IN, INTP8_ALT2_IN, TAUD2I0_ALT3_IN, ADCD0CNV0_ALT3_OUT, TAUD2O0_ALT4_OUT, SENT5RX_ALT6_IN, SENT5SPCO_ALT6_OUT, DIO</v>
      </c>
      <c r="AE54" s="6" t="str">
        <f>VLOOKUP(H54,PortConfigOptions!$B$1:$R$89,7,FALSE)</f>
        <v>PORT_PIN_OUT, PORT_PIN_IN</v>
      </c>
      <c r="AF54" s="6" t="str">
        <f>VLOOKUP(H54,PortConfigOptions!$B$1:$R$89,8,FALSE)</f>
        <v>TRUE, FALSE</v>
      </c>
      <c r="AG54" s="6" t="str">
        <f>VLOOKUP(H54,PortConfigOptions!$B$1:$R$89,9,FALSE)</f>
        <v>TRUE, FALSE</v>
      </c>
      <c r="AH54" s="6" t="str">
        <f>VLOOKUP(H54,PortConfigOptions!$B$1:$R$89,10,FALSE)</f>
        <v>TRUE, FALSE</v>
      </c>
      <c r="AI54" s="6" t="str">
        <f>VLOOKUP(H54,PortConfigOptions!$B$1:$R$89,11,FALSE)</f>
        <v>TRUE, FALSE</v>
      </c>
      <c r="AJ54" s="6" t="str">
        <f>VLOOKUP(H54,PortConfigOptions!$B$1:$R$89,12,FALSE)</f>
        <v>TRUE, FALSE</v>
      </c>
      <c r="AK54" s="6" t="str">
        <f>VLOOKUP(H54,PortConfigOptions!$B$1:$R$89,13,FALSE)</f>
        <v>OpenDrain_PushPull, OpenDrain_N_Channel, OpenDrain_P_Channel</v>
      </c>
      <c r="AL54" s="6" t="str">
        <f>VLOOKUP(H54,PortConfigOptions!$B$1:$R$89,14,FALSE)</f>
        <v>TRUE, FALSE</v>
      </c>
      <c r="AM54" s="6" t="str">
        <f>VLOOKUP(H54,PortConfigOptions!$B$1:$R$89,15,FALSE)</f>
        <v>SLOW, FAST, MIDDLE_0, MIDDLE_1</v>
      </c>
      <c r="AN54" s="6" t="str">
        <f>VLOOKUP(H54,PortConfigOptions!$B$1:$R$89,16,FALSE)</f>
        <v>SLOW, FAST, MIDDLE</v>
      </c>
      <c r="AO54" s="6">
        <f>VLOOKUP(H54,PortConfigOptions!$B$1:$R$89,17,FALSE)</f>
        <v>0</v>
      </c>
      <c r="AV54" s="6" t="s">
        <v>222</v>
      </c>
    </row>
    <row r="55" spans="1:48" x14ac:dyDescent="0.25">
      <c r="A55" s="6">
        <v>133</v>
      </c>
      <c r="B55" s="7">
        <v>74</v>
      </c>
      <c r="D55" s="7" t="s">
        <v>6</v>
      </c>
      <c r="E55" s="7" t="s">
        <v>6</v>
      </c>
      <c r="F55" s="7" t="s">
        <v>701</v>
      </c>
      <c r="G55" s="6" t="s">
        <v>284</v>
      </c>
      <c r="H55" s="6" t="s">
        <v>284</v>
      </c>
      <c r="I55" s="6" t="b">
        <v>0</v>
      </c>
      <c r="J55" s="6" t="b">
        <v>0</v>
      </c>
      <c r="K55" s="6" t="b">
        <v>0</v>
      </c>
      <c r="L55" s="6" t="s">
        <v>699</v>
      </c>
      <c r="M55" s="7" t="s">
        <v>701</v>
      </c>
      <c r="N55" s="6" t="s">
        <v>734</v>
      </c>
      <c r="O55" s="6" t="b">
        <v>0</v>
      </c>
      <c r="P55" s="7" t="b">
        <v>0</v>
      </c>
      <c r="Q55" s="7" t="b">
        <v>0</v>
      </c>
      <c r="R55" s="7" t="b">
        <v>0</v>
      </c>
      <c r="S55" s="7" t="b">
        <v>0</v>
      </c>
      <c r="T55" s="7" t="s">
        <v>737</v>
      </c>
      <c r="U55" s="7" t="b">
        <v>0</v>
      </c>
      <c r="V55" s="6" t="s">
        <v>762</v>
      </c>
      <c r="W55" s="6" t="s">
        <v>762</v>
      </c>
      <c r="X55" s="7" t="s">
        <v>748</v>
      </c>
      <c r="Z55" s="6" t="str">
        <f>VLOOKUP(H55,PortConfigOptions!$B$1:$R$89,2,FALSE)</f>
        <v>TRUE, FALSE</v>
      </c>
      <c r="AA55" s="6" t="str">
        <f>VLOOKUP(H55,PortConfigOptions!$B$1:$R$89,3,FALSE)</f>
        <v>TRUE, FALSE</v>
      </c>
      <c r="AB55" s="6" t="str">
        <f>VLOOKUP(H55,PortConfigOptions!$B$1:$R$89,4,FALSE)</f>
        <v>TRUE, FALSE</v>
      </c>
      <c r="AC55" s="6" t="str">
        <f>VLOOKUP(H55,PortConfigOptions!$B$1:$R$89,5,FALSE)</f>
        <v>PORT_PIN_LEVEL_LOW, PORT_PIN_LEVEL_HIGH</v>
      </c>
      <c r="AD55" s="6" t="str">
        <f>VLOOKUP(H55,PortConfigOptions!$B$1:$R$89,6,FALSE)</f>
        <v>SCI30TX_ALT1_OUT, TAUD1ODI8_ALT2_IN, TAUD1O8_ALT2_OUT, TAUD2I1_ALT3_IN, ADCD0CNV1_ALT3_OUT, TAUD2O1_ALT4_OUT, SENT5SPCO_ALT6_OUT, DIO</v>
      </c>
      <c r="AE55" s="6" t="str">
        <f>VLOOKUP(H55,PortConfigOptions!$B$1:$R$89,7,FALSE)</f>
        <v>PORT_PIN_OUT, PORT_PIN_IN</v>
      </c>
      <c r="AF55" s="6" t="str">
        <f>VLOOKUP(H55,PortConfigOptions!$B$1:$R$89,8,FALSE)</f>
        <v>TRUE, FALSE</v>
      </c>
      <c r="AG55" s="6" t="str">
        <f>VLOOKUP(H55,PortConfigOptions!$B$1:$R$89,9,FALSE)</f>
        <v>TRUE, FALSE</v>
      </c>
      <c r="AH55" s="6" t="str">
        <f>VLOOKUP(H55,PortConfigOptions!$B$1:$R$89,10,FALSE)</f>
        <v>TRUE, FALSE</v>
      </c>
      <c r="AI55" s="6" t="str">
        <f>VLOOKUP(H55,PortConfigOptions!$B$1:$R$89,11,FALSE)</f>
        <v>TRUE, FALSE</v>
      </c>
      <c r="AJ55" s="6" t="str">
        <f>VLOOKUP(H55,PortConfigOptions!$B$1:$R$89,12,FALSE)</f>
        <v>TRUE, FALSE</v>
      </c>
      <c r="AK55" s="6" t="str">
        <f>VLOOKUP(H55,PortConfigOptions!$B$1:$R$89,13,FALSE)</f>
        <v>OpenDrain_PushPull, OpenDrain_N_Channel, OpenDrain_P_Channel</v>
      </c>
      <c r="AL55" s="6" t="str">
        <f>VLOOKUP(H55,PortConfigOptions!$B$1:$R$89,14,FALSE)</f>
        <v>TRUE, FALSE</v>
      </c>
      <c r="AM55" s="6" t="str">
        <f>VLOOKUP(H55,PortConfigOptions!$B$1:$R$89,15,FALSE)</f>
        <v>SLOW, FAST, MIDDLE_0, MIDDLE_1</v>
      </c>
      <c r="AN55" s="6" t="str">
        <f>VLOOKUP(H55,PortConfigOptions!$B$1:$R$89,16,FALSE)</f>
        <v>SLOW, FAST, MIDDLE</v>
      </c>
      <c r="AO55" s="6" t="str">
        <f>VLOOKUP(H55,PortConfigOptions!$B$1:$R$89,17,FALSE)</f>
        <v>TYPE_1_SUPP_PISA, TYPE_2_SUPP_PISA</v>
      </c>
      <c r="AS55" s="7" t="s">
        <v>270</v>
      </c>
      <c r="AT55" s="7" t="s">
        <v>296</v>
      </c>
      <c r="AU55" s="6" t="s">
        <v>271</v>
      </c>
      <c r="AV55" s="6" t="s">
        <v>228</v>
      </c>
    </row>
    <row r="56" spans="1:48" x14ac:dyDescent="0.25">
      <c r="A56" s="6">
        <v>134</v>
      </c>
      <c r="B56" s="7">
        <v>75</v>
      </c>
      <c r="D56" s="7" t="s">
        <v>6</v>
      </c>
      <c r="E56" s="7" t="s">
        <v>6</v>
      </c>
      <c r="F56" s="7" t="s">
        <v>701</v>
      </c>
      <c r="G56" s="6" t="s">
        <v>285</v>
      </c>
      <c r="H56" s="6" t="s">
        <v>285</v>
      </c>
      <c r="I56" s="6" t="b">
        <v>0</v>
      </c>
      <c r="J56" s="6" t="b">
        <v>0</v>
      </c>
      <c r="K56" s="6" t="b">
        <v>0</v>
      </c>
      <c r="L56" s="6" t="s">
        <v>699</v>
      </c>
      <c r="M56" s="7" t="s">
        <v>701</v>
      </c>
      <c r="N56" s="6" t="s">
        <v>734</v>
      </c>
      <c r="O56" s="6" t="b">
        <v>0</v>
      </c>
      <c r="P56" s="7" t="b">
        <v>0</v>
      </c>
      <c r="Q56" s="7" t="b">
        <v>0</v>
      </c>
      <c r="R56" s="7" t="b">
        <v>0</v>
      </c>
      <c r="S56" s="7" t="b">
        <v>0</v>
      </c>
      <c r="T56" s="7" t="s">
        <v>737</v>
      </c>
      <c r="U56" s="7" t="b">
        <v>0</v>
      </c>
      <c r="V56" s="6" t="s">
        <v>762</v>
      </c>
      <c r="W56" s="6" t="s">
        <v>762</v>
      </c>
      <c r="X56" s="7" t="s">
        <v>748</v>
      </c>
      <c r="Z56" s="6" t="str">
        <f>VLOOKUP(H56,PortConfigOptions!$B$1:$R$89,2,FALSE)</f>
        <v>TRUE, FALSE</v>
      </c>
      <c r="AA56" s="6" t="str">
        <f>VLOOKUP(H56,PortConfigOptions!$B$1:$R$89,3,FALSE)</f>
        <v>TRUE, FALSE</v>
      </c>
      <c r="AB56" s="6" t="str">
        <f>VLOOKUP(H56,PortConfigOptions!$B$1:$R$89,4,FALSE)</f>
        <v>TRUE, FALSE</v>
      </c>
      <c r="AC56" s="6" t="str">
        <f>VLOOKUP(H56,PortConfigOptions!$B$1:$R$89,5,FALSE)</f>
        <v>PORT_PIN_LEVEL_LOW, PORT_PIN_LEVEL_HIGH</v>
      </c>
      <c r="AD56" s="6" t="str">
        <f>VLOOKUP(H56,PortConfigOptions!$B$1:$R$89,6,FALSE)</f>
        <v>SCI30SCI_ALT1_IN, SCI30SCO_ALT1_OUT, TAUD1ODI9_ALT2_IN, TAUD1O9_ALT2_OUT, TAUD2I2_ALT3_IN, ADCD0CNV2_ALT3_OUT, TAUD2O2_ALT4_OUT, SENT4SPCO_ALT6_OUT, DIO</v>
      </c>
      <c r="AE56" s="6" t="str">
        <f>VLOOKUP(H56,PortConfigOptions!$B$1:$R$89,7,FALSE)</f>
        <v>PORT_PIN_OUT, PORT_PIN_IN</v>
      </c>
      <c r="AF56" s="6" t="str">
        <f>VLOOKUP(H56,PortConfigOptions!$B$1:$R$89,8,FALSE)</f>
        <v>TRUE, FALSE</v>
      </c>
      <c r="AG56" s="6" t="str">
        <f>VLOOKUP(H56,PortConfigOptions!$B$1:$R$89,9,FALSE)</f>
        <v>TRUE, FALSE</v>
      </c>
      <c r="AH56" s="6" t="str">
        <f>VLOOKUP(H56,PortConfigOptions!$B$1:$R$89,10,FALSE)</f>
        <v>TRUE, FALSE</v>
      </c>
      <c r="AI56" s="6" t="str">
        <f>VLOOKUP(H56,PortConfigOptions!$B$1:$R$89,11,FALSE)</f>
        <v>TRUE, FALSE</v>
      </c>
      <c r="AJ56" s="6" t="str">
        <f>VLOOKUP(H56,PortConfigOptions!$B$1:$R$89,12,FALSE)</f>
        <v>TRUE, FALSE</v>
      </c>
      <c r="AK56" s="6" t="str">
        <f>VLOOKUP(H56,PortConfigOptions!$B$1:$R$89,13,FALSE)</f>
        <v>OpenDrain_PushPull, OpenDrain_N_Channel, OpenDrain_P_Channel</v>
      </c>
      <c r="AL56" s="6" t="str">
        <f>VLOOKUP(H56,PortConfigOptions!$B$1:$R$89,14,FALSE)</f>
        <v>TRUE, FALSE</v>
      </c>
      <c r="AM56" s="6" t="str">
        <f>VLOOKUP(H56,PortConfigOptions!$B$1:$R$89,15,FALSE)</f>
        <v>SLOW, FAST, MIDDLE_0, MIDDLE_1</v>
      </c>
      <c r="AN56" s="6" t="str">
        <f>VLOOKUP(H56,PortConfigOptions!$B$1:$R$89,16,FALSE)</f>
        <v>SLOW, FAST, MIDDLE</v>
      </c>
      <c r="AO56" s="6" t="str">
        <f>VLOOKUP(H56,PortConfigOptions!$B$1:$R$89,17,FALSE)</f>
        <v>TYPE_1_SUPP_PISA, TYPE_2_SUPP_PISA</v>
      </c>
      <c r="AS56" s="7" t="s">
        <v>270</v>
      </c>
      <c r="AT56" s="7" t="s">
        <v>296</v>
      </c>
      <c r="AU56" s="6" t="s">
        <v>271</v>
      </c>
      <c r="AV56" s="6" t="s">
        <v>229</v>
      </c>
    </row>
    <row r="57" spans="1:48" x14ac:dyDescent="0.25">
      <c r="A57" s="6">
        <v>62</v>
      </c>
      <c r="B57" s="7">
        <v>76</v>
      </c>
      <c r="D57" s="7" t="s">
        <v>124</v>
      </c>
      <c r="E57" s="7" t="s">
        <v>397</v>
      </c>
      <c r="F57" s="7" t="s">
        <v>244</v>
      </c>
      <c r="G57" s="7" t="s">
        <v>125</v>
      </c>
      <c r="H57" s="6" t="s">
        <v>323</v>
      </c>
      <c r="I57" s="6" t="b">
        <v>0</v>
      </c>
      <c r="J57" s="6" t="b">
        <v>0</v>
      </c>
      <c r="K57" s="6" t="b">
        <v>0</v>
      </c>
      <c r="L57" s="6" t="s">
        <v>699</v>
      </c>
      <c r="M57" s="7" t="s">
        <v>709</v>
      </c>
      <c r="N57" s="6" t="s">
        <v>734</v>
      </c>
      <c r="O57" s="7" t="b">
        <v>0</v>
      </c>
      <c r="P57" s="7" t="b">
        <v>0</v>
      </c>
      <c r="Q57" s="7" t="b">
        <v>0</v>
      </c>
      <c r="R57" s="7" t="b">
        <v>0</v>
      </c>
      <c r="S57" s="7" t="b">
        <v>0</v>
      </c>
      <c r="T57" s="7" t="s">
        <v>737</v>
      </c>
      <c r="U57" s="7" t="b">
        <v>0</v>
      </c>
      <c r="V57" s="6" t="s">
        <v>762</v>
      </c>
      <c r="W57" s="6" t="s">
        <v>762</v>
      </c>
      <c r="X57" s="7" t="s">
        <v>748</v>
      </c>
      <c r="Z57" s="6" t="str">
        <f>VLOOKUP(H57,PortConfigOptions!$B$1:$R$89,2,FALSE)</f>
        <v>TRUE, FALSE</v>
      </c>
      <c r="AA57" s="6" t="str">
        <f>VLOOKUP(H57,PortConfigOptions!$B$1:$R$89,3,FALSE)</f>
        <v>TRUE, FALSE</v>
      </c>
      <c r="AB57" s="6" t="str">
        <f>VLOOKUP(H57,PortConfigOptions!$B$1:$R$89,4,FALSE)</f>
        <v>TRUE, FALSE</v>
      </c>
      <c r="AC57" s="6" t="str">
        <f>VLOOKUP(H57,PortConfigOptions!$B$1:$R$89,5,FALSE)</f>
        <v>PORT_PIN_LEVEL_LOW, PORT_PIN_LEVEL_HIGH</v>
      </c>
      <c r="AD57" s="6" t="str">
        <f>VLOOKUP(H57,PortConfigOptions!$B$1:$R$89,6,FALSE)</f>
        <v>TAUJ1I0_ALT1_IN, TAUJ1O0_ALT1_OUT, TAUD1ODI10_ALT2_IN, TAUD1O10_ALT2_OUT, TAUD2I3_ALT3_IN, ADCD0CNV3_ALT3_OUT, TAUD2O3_ALT4_OUT, SENT3SPCO_ALT6_OUT, DIO</v>
      </c>
      <c r="AE57" s="6" t="str">
        <f>VLOOKUP(H57,PortConfigOptions!$B$1:$R$89,7,FALSE)</f>
        <v>PORT_PIN_OUT, PORT_PIN_IN</v>
      </c>
      <c r="AF57" s="6" t="str">
        <f>VLOOKUP(H57,PortConfigOptions!$B$1:$R$89,8,FALSE)</f>
        <v>TRUE, FALSE</v>
      </c>
      <c r="AG57" s="6" t="str">
        <f>VLOOKUP(H57,PortConfigOptions!$B$1:$R$89,9,FALSE)</f>
        <v>TRUE, FALSE</v>
      </c>
      <c r="AH57" s="6" t="str">
        <f>VLOOKUP(H57,PortConfigOptions!$B$1:$R$89,10,FALSE)</f>
        <v>TRUE, FALSE</v>
      </c>
      <c r="AI57" s="6" t="str">
        <f>VLOOKUP(H57,PortConfigOptions!$B$1:$R$89,11,FALSE)</f>
        <v>TRUE, FALSE</v>
      </c>
      <c r="AJ57" s="6" t="str">
        <f>VLOOKUP(H57,PortConfigOptions!$B$1:$R$89,12,FALSE)</f>
        <v>TRUE, FALSE</v>
      </c>
      <c r="AK57" s="6" t="str">
        <f>VLOOKUP(H57,PortConfigOptions!$B$1:$R$89,13,FALSE)</f>
        <v>OpenDrain_PushPull, OpenDrain_N_Channel, OpenDrain_P_Channel</v>
      </c>
      <c r="AL57" s="6" t="str">
        <f>VLOOKUP(H57,PortConfigOptions!$B$1:$R$89,14,FALSE)</f>
        <v>TRUE, FALSE</v>
      </c>
      <c r="AM57" s="6" t="str">
        <f>VLOOKUP(H57,PortConfigOptions!$B$1:$R$89,15,FALSE)</f>
        <v>SLOW, FAST, MIDDLE_0, MIDDLE_1</v>
      </c>
      <c r="AN57" s="6" t="str">
        <f>VLOOKUP(H57,PortConfigOptions!$B$1:$R$89,16,FALSE)</f>
        <v>SLOW, FAST, MIDDLE</v>
      </c>
      <c r="AO57" s="6" t="str">
        <f>VLOOKUP(H57,PortConfigOptions!$B$1:$R$89,17,FALSE)</f>
        <v>TYPE_1_SUPP_PISA, TYPE_2_SUPP_PISA</v>
      </c>
      <c r="AV57" s="6" t="s">
        <v>126</v>
      </c>
    </row>
    <row r="58" spans="1:48" x14ac:dyDescent="0.25">
      <c r="A58" s="6">
        <v>63</v>
      </c>
      <c r="B58" s="7">
        <v>77</v>
      </c>
      <c r="D58" s="7" t="s">
        <v>127</v>
      </c>
      <c r="E58" s="7" t="s">
        <v>398</v>
      </c>
      <c r="F58" s="7" t="s">
        <v>244</v>
      </c>
      <c r="G58" s="7" t="s">
        <v>128</v>
      </c>
      <c r="H58" s="6" t="s">
        <v>324</v>
      </c>
      <c r="I58" s="6" t="b">
        <v>0</v>
      </c>
      <c r="J58" s="6" t="b">
        <v>0</v>
      </c>
      <c r="K58" s="6" t="b">
        <v>0</v>
      </c>
      <c r="L58" s="6" t="s">
        <v>699</v>
      </c>
      <c r="M58" s="7" t="s">
        <v>710</v>
      </c>
      <c r="N58" s="6" t="s">
        <v>734</v>
      </c>
      <c r="O58" s="7" t="b">
        <v>0</v>
      </c>
      <c r="P58" s="7" t="b">
        <v>0</v>
      </c>
      <c r="Q58" s="7" t="b">
        <v>0</v>
      </c>
      <c r="R58" s="7" t="b">
        <v>0</v>
      </c>
      <c r="S58" s="7" t="b">
        <v>0</v>
      </c>
      <c r="T58" s="7" t="s">
        <v>737</v>
      </c>
      <c r="U58" s="7" t="b">
        <v>0</v>
      </c>
      <c r="V58" s="6" t="s">
        <v>762</v>
      </c>
      <c r="W58" s="6" t="s">
        <v>762</v>
      </c>
      <c r="X58" s="7" t="s">
        <v>748</v>
      </c>
      <c r="Z58" s="6" t="str">
        <f>VLOOKUP(H58,PortConfigOptions!$B$1:$R$89,2,FALSE)</f>
        <v>TRUE, FALSE</v>
      </c>
      <c r="AA58" s="6" t="str">
        <f>VLOOKUP(H58,PortConfigOptions!$B$1:$R$89,3,FALSE)</f>
        <v>TRUE, FALSE</v>
      </c>
      <c r="AB58" s="6" t="str">
        <f>VLOOKUP(H58,PortConfigOptions!$B$1:$R$89,4,FALSE)</f>
        <v>TRUE, FALSE</v>
      </c>
      <c r="AC58" s="6" t="str">
        <f>VLOOKUP(H58,PortConfigOptions!$B$1:$R$89,5,FALSE)</f>
        <v>PORT_PIN_LEVEL_LOW, PORT_PIN_LEVEL_HIGH</v>
      </c>
      <c r="AD58" s="6" t="str">
        <f>VLOOKUP(H58,PortConfigOptions!$B$1:$R$89,6,FALSE)</f>
        <v>TAUJ1I1_ALT1_IN, TAUJ1O1_ALT1_OUT, TAUD1ODI11_ALT2_IN, TAUD1O11_ALT2_OUT, TAUD2I4_ALT3_IN, TAUD2O4_ALT4_OUT, SENT2SPCO_ALT6_OUT, DIO</v>
      </c>
      <c r="AE58" s="6" t="str">
        <f>VLOOKUP(H58,PortConfigOptions!$B$1:$R$89,7,FALSE)</f>
        <v>PORT_PIN_OUT, PORT_PIN_IN</v>
      </c>
      <c r="AF58" s="6" t="str">
        <f>VLOOKUP(H58,PortConfigOptions!$B$1:$R$89,8,FALSE)</f>
        <v>TRUE, FALSE</v>
      </c>
      <c r="AG58" s="6" t="str">
        <f>VLOOKUP(H58,PortConfigOptions!$B$1:$R$89,9,FALSE)</f>
        <v>TRUE, FALSE</v>
      </c>
      <c r="AH58" s="6" t="str">
        <f>VLOOKUP(H58,PortConfigOptions!$B$1:$R$89,10,FALSE)</f>
        <v>TRUE, FALSE</v>
      </c>
      <c r="AI58" s="6" t="str">
        <f>VLOOKUP(H58,PortConfigOptions!$B$1:$R$89,11,FALSE)</f>
        <v>TRUE, FALSE</v>
      </c>
      <c r="AJ58" s="6" t="str">
        <f>VLOOKUP(H58,PortConfigOptions!$B$1:$R$89,12,FALSE)</f>
        <v>TRUE, FALSE</v>
      </c>
      <c r="AK58" s="6" t="str">
        <f>VLOOKUP(H58,PortConfigOptions!$B$1:$R$89,13,FALSE)</f>
        <v>OpenDrain_PushPull, OpenDrain_N_Channel, OpenDrain_P_Channel</v>
      </c>
      <c r="AL58" s="6" t="str">
        <f>VLOOKUP(H58,PortConfigOptions!$B$1:$R$89,14,FALSE)</f>
        <v>TRUE, FALSE</v>
      </c>
      <c r="AM58" s="6" t="str">
        <f>VLOOKUP(H58,PortConfigOptions!$B$1:$R$89,15,FALSE)</f>
        <v>SLOW, FAST, MIDDLE_0, MIDDLE_1</v>
      </c>
      <c r="AN58" s="6" t="str">
        <f>VLOOKUP(H58,PortConfigOptions!$B$1:$R$89,16,FALSE)</f>
        <v>SLOW, FAST, MIDDLE</v>
      </c>
      <c r="AO58" s="6" t="str">
        <f>VLOOKUP(H58,PortConfigOptions!$B$1:$R$89,17,FALSE)</f>
        <v>TYPE_1_SUPP_PISA, TYPE_2_SUPP_PISA</v>
      </c>
      <c r="AV58" s="6" t="s">
        <v>129</v>
      </c>
    </row>
    <row r="59" spans="1:48" x14ac:dyDescent="0.25">
      <c r="A59" s="6">
        <v>64</v>
      </c>
      <c r="B59" s="7">
        <v>78</v>
      </c>
      <c r="D59" s="7" t="s">
        <v>130</v>
      </c>
      <c r="E59" s="7" t="s">
        <v>399</v>
      </c>
      <c r="F59" s="7" t="s">
        <v>244</v>
      </c>
      <c r="G59" s="7" t="s">
        <v>131</v>
      </c>
      <c r="H59" s="6" t="s">
        <v>325</v>
      </c>
      <c r="I59" s="6" t="b">
        <v>0</v>
      </c>
      <c r="J59" s="6" t="b">
        <v>0</v>
      </c>
      <c r="K59" s="6" t="b">
        <v>0</v>
      </c>
      <c r="L59" s="6" t="s">
        <v>699</v>
      </c>
      <c r="M59" s="7" t="s">
        <v>711</v>
      </c>
      <c r="N59" s="6" t="s">
        <v>734</v>
      </c>
      <c r="O59" s="7" t="b">
        <v>0</v>
      </c>
      <c r="P59" s="7" t="b">
        <v>0</v>
      </c>
      <c r="Q59" s="7" t="b">
        <v>0</v>
      </c>
      <c r="R59" s="7" t="b">
        <v>0</v>
      </c>
      <c r="S59" s="7" t="b">
        <v>0</v>
      </c>
      <c r="T59" s="7" t="s">
        <v>737</v>
      </c>
      <c r="U59" s="7" t="b">
        <v>0</v>
      </c>
      <c r="V59" s="6" t="s">
        <v>762</v>
      </c>
      <c r="W59" s="6" t="s">
        <v>762</v>
      </c>
      <c r="X59" s="7" t="s">
        <v>748</v>
      </c>
      <c r="Z59" s="6" t="str">
        <f>VLOOKUP(H59,PortConfigOptions!$B$1:$R$89,2,FALSE)</f>
        <v>TRUE, FALSE</v>
      </c>
      <c r="AA59" s="6" t="str">
        <f>VLOOKUP(H59,PortConfigOptions!$B$1:$R$89,3,FALSE)</f>
        <v>TRUE, FALSE</v>
      </c>
      <c r="AB59" s="6" t="str">
        <f>VLOOKUP(H59,PortConfigOptions!$B$1:$R$89,4,FALSE)</f>
        <v>TRUE, FALSE</v>
      </c>
      <c r="AC59" s="6" t="str">
        <f>VLOOKUP(H59,PortConfigOptions!$B$1:$R$89,5,FALSE)</f>
        <v>PORT_PIN_LEVEL_LOW, PORT_PIN_LEVEL_HIGH</v>
      </c>
      <c r="AD59" s="6" t="str">
        <f>VLOOKUP(H59,PortConfigOptions!$B$1:$R$89,6,FALSE)</f>
        <v>TAUJ1I2_ALT1_IN, TAUJ1O2_ALT1_OUT, TAUD1ODI12_ALT2_IN, TAUD1O12_ALT2_OUT, TAUD2I5_ALT3_IN, ADCATRG0_ALT4_IN, TAUD2O5_ALT4_OUT, SENT1SPCO_ALT6_IN, DIO</v>
      </c>
      <c r="AE59" s="6" t="str">
        <f>VLOOKUP(H59,PortConfigOptions!$B$1:$R$89,7,FALSE)</f>
        <v>PORT_PIN_OUT, PORT_PIN_IN</v>
      </c>
      <c r="AF59" s="6" t="str">
        <f>VLOOKUP(H59,PortConfigOptions!$B$1:$R$89,8,FALSE)</f>
        <v>TRUE, FALSE</v>
      </c>
      <c r="AG59" s="6" t="str">
        <f>VLOOKUP(H59,PortConfigOptions!$B$1:$R$89,9,FALSE)</f>
        <v>TRUE, FALSE</v>
      </c>
      <c r="AH59" s="6" t="str">
        <f>VLOOKUP(H59,PortConfigOptions!$B$1:$R$89,10,FALSE)</f>
        <v>TRUE, FALSE</v>
      </c>
      <c r="AI59" s="6" t="str">
        <f>VLOOKUP(H59,PortConfigOptions!$B$1:$R$89,11,FALSE)</f>
        <v>TRUE, FALSE</v>
      </c>
      <c r="AJ59" s="6" t="str">
        <f>VLOOKUP(H59,PortConfigOptions!$B$1:$R$89,12,FALSE)</f>
        <v>TRUE, FALSE</v>
      </c>
      <c r="AK59" s="6" t="str">
        <f>VLOOKUP(H59,PortConfigOptions!$B$1:$R$89,13,FALSE)</f>
        <v>OpenDrain_PushPull, OpenDrain_N_Channel, OpenDrain_P_Channel</v>
      </c>
      <c r="AL59" s="6" t="str">
        <f>VLOOKUP(H59,PortConfigOptions!$B$1:$R$89,14,FALSE)</f>
        <v>TRUE, FALSE</v>
      </c>
      <c r="AM59" s="6" t="str">
        <f>VLOOKUP(H59,PortConfigOptions!$B$1:$R$89,15,FALSE)</f>
        <v>SLOW, FAST, MIDDLE_0, MIDDLE_1</v>
      </c>
      <c r="AN59" s="6" t="str">
        <f>VLOOKUP(H59,PortConfigOptions!$B$1:$R$89,16,FALSE)</f>
        <v>SLOW, FAST, MIDDLE</v>
      </c>
      <c r="AO59" s="6" t="str">
        <f>VLOOKUP(H59,PortConfigOptions!$B$1:$R$89,17,FALSE)</f>
        <v>TYPE_1_SUPP_PISA, TYPE_2_SUPP_PISA</v>
      </c>
      <c r="AV59" s="6" t="s">
        <v>132</v>
      </c>
    </row>
    <row r="60" spans="1:48" x14ac:dyDescent="0.25">
      <c r="A60" s="6">
        <v>135</v>
      </c>
      <c r="B60" s="7">
        <v>79</v>
      </c>
      <c r="D60" s="7" t="s">
        <v>6</v>
      </c>
      <c r="E60" s="7" t="s">
        <v>6</v>
      </c>
      <c r="F60" s="7" t="s">
        <v>701</v>
      </c>
      <c r="G60" s="6" t="s">
        <v>286</v>
      </c>
      <c r="H60" s="6" t="s">
        <v>286</v>
      </c>
      <c r="I60" s="6" t="b">
        <v>0</v>
      </c>
      <c r="J60" s="6" t="b">
        <v>0</v>
      </c>
      <c r="K60" s="6" t="b">
        <v>0</v>
      </c>
      <c r="L60" s="6" t="s">
        <v>699</v>
      </c>
      <c r="M60" s="7" t="s">
        <v>701</v>
      </c>
      <c r="N60" s="6" t="s">
        <v>734</v>
      </c>
      <c r="O60" s="6" t="b">
        <v>0</v>
      </c>
      <c r="P60" s="7" t="b">
        <v>0</v>
      </c>
      <c r="Q60" s="7" t="b">
        <v>0</v>
      </c>
      <c r="R60" s="7" t="b">
        <v>0</v>
      </c>
      <c r="S60" s="7" t="b">
        <v>0</v>
      </c>
      <c r="T60" s="7" t="s">
        <v>737</v>
      </c>
      <c r="U60" s="7" t="b">
        <v>0</v>
      </c>
      <c r="V60" s="6" t="s">
        <v>762</v>
      </c>
      <c r="W60" s="6" t="s">
        <v>762</v>
      </c>
      <c r="X60" s="7" t="s">
        <v>748</v>
      </c>
      <c r="Z60" s="6" t="str">
        <f>VLOOKUP(H60,PortConfigOptions!$B$1:$R$89,2,FALSE)</f>
        <v>TRUE, FALSE</v>
      </c>
      <c r="AA60" s="6" t="str">
        <f>VLOOKUP(H60,PortConfigOptions!$B$1:$R$89,3,FALSE)</f>
        <v>TRUE, FALSE</v>
      </c>
      <c r="AB60" s="6" t="str">
        <f>VLOOKUP(H60,PortConfigOptions!$B$1:$R$89,4,FALSE)</f>
        <v>TRUE, FALSE</v>
      </c>
      <c r="AC60" s="6" t="str">
        <f>VLOOKUP(H60,PortConfigOptions!$B$1:$R$89,5,FALSE)</f>
        <v>PORT_PIN_LEVEL_LOW, PORT_PIN_LEVEL_HIGH</v>
      </c>
      <c r="AD60" s="6" t="str">
        <f>VLOOKUP(H60,PortConfigOptions!$B$1:$R$89,6,FALSE)</f>
        <v>TAUJ1I3_ALT1_IN, TAUJ1O3_ALT1_OUT, TAUD1ODI13_ALT2_IN, TAUD1O13_ALT2_OUT, TAUD2I6_ALT3_IN, ADCATRG1_ALT4_IN, TAUD2O6_ALT4_OUT, SENT0SPCO_ALT6_OUT, DIO</v>
      </c>
      <c r="AE60" s="6" t="str">
        <f>VLOOKUP(H60,PortConfigOptions!$B$1:$R$89,7,FALSE)</f>
        <v>PORT_PIN_OUT, PORT_PIN_IN</v>
      </c>
      <c r="AF60" s="6" t="str">
        <f>VLOOKUP(H60,PortConfigOptions!$B$1:$R$89,8,FALSE)</f>
        <v>TRUE, FALSE</v>
      </c>
      <c r="AG60" s="6" t="str">
        <f>VLOOKUP(H60,PortConfigOptions!$B$1:$R$89,9,FALSE)</f>
        <v>TRUE, FALSE</v>
      </c>
      <c r="AH60" s="6" t="str">
        <f>VLOOKUP(H60,PortConfigOptions!$B$1:$R$89,10,FALSE)</f>
        <v>TRUE, FALSE</v>
      </c>
      <c r="AI60" s="6" t="str">
        <f>VLOOKUP(H60,PortConfigOptions!$B$1:$R$89,11,FALSE)</f>
        <v>TRUE, FALSE</v>
      </c>
      <c r="AJ60" s="6" t="str">
        <f>VLOOKUP(H60,PortConfigOptions!$B$1:$R$89,12,FALSE)</f>
        <v>TRUE, FALSE</v>
      </c>
      <c r="AK60" s="6" t="str">
        <f>VLOOKUP(H60,PortConfigOptions!$B$1:$R$89,13,FALSE)</f>
        <v>OpenDrain_PushPull, OpenDrain_N_Channel, OpenDrain_P_Channel</v>
      </c>
      <c r="AL60" s="6" t="str">
        <f>VLOOKUP(H60,PortConfigOptions!$B$1:$R$89,14,FALSE)</f>
        <v>TRUE, FALSE</v>
      </c>
      <c r="AM60" s="6" t="str">
        <f>VLOOKUP(H60,PortConfigOptions!$B$1:$R$89,15,FALSE)</f>
        <v>SLOW, FAST, MIDDLE_0, MIDDLE_1</v>
      </c>
      <c r="AN60" s="6" t="str">
        <f>VLOOKUP(H60,PortConfigOptions!$B$1:$R$89,16,FALSE)</f>
        <v>SLOW, FAST, MIDDLE</v>
      </c>
      <c r="AO60" s="6" t="str">
        <f>VLOOKUP(H60,PortConfigOptions!$B$1:$R$89,17,FALSE)</f>
        <v>TYPE_1_SUPP_PISA, TYPE_2_SUPP_PISA</v>
      </c>
      <c r="AS60" s="7" t="s">
        <v>270</v>
      </c>
      <c r="AT60" s="7" t="s">
        <v>296</v>
      </c>
      <c r="AU60" s="6" t="s">
        <v>271</v>
      </c>
      <c r="AV60" s="6" t="s">
        <v>230</v>
      </c>
    </row>
    <row r="61" spans="1:48" x14ac:dyDescent="0.25">
      <c r="A61" s="6">
        <v>136</v>
      </c>
      <c r="B61" s="7">
        <v>80</v>
      </c>
      <c r="D61" s="7" t="s">
        <v>6</v>
      </c>
      <c r="E61" s="7" t="s">
        <v>6</v>
      </c>
      <c r="F61" s="7" t="s">
        <v>701</v>
      </c>
      <c r="G61" s="6" t="s">
        <v>287</v>
      </c>
      <c r="H61" s="6" t="s">
        <v>287</v>
      </c>
      <c r="I61" s="6" t="b">
        <v>0</v>
      </c>
      <c r="J61" s="6" t="b">
        <v>0</v>
      </c>
      <c r="K61" s="6" t="b">
        <v>0</v>
      </c>
      <c r="L61" s="6" t="s">
        <v>699</v>
      </c>
      <c r="M61" s="7" t="s">
        <v>701</v>
      </c>
      <c r="N61" s="6" t="s">
        <v>734</v>
      </c>
      <c r="O61" s="6" t="b">
        <v>0</v>
      </c>
      <c r="P61" s="7" t="b">
        <v>0</v>
      </c>
      <c r="Q61" s="7" t="b">
        <v>0</v>
      </c>
      <c r="R61" s="7" t="b">
        <v>0</v>
      </c>
      <c r="S61" s="7" t="b">
        <v>0</v>
      </c>
      <c r="T61" s="7" t="s">
        <v>737</v>
      </c>
      <c r="U61" s="7" t="b">
        <v>0</v>
      </c>
      <c r="V61" s="6" t="s">
        <v>762</v>
      </c>
      <c r="W61" s="6" t="s">
        <v>762</v>
      </c>
      <c r="X61" s="7" t="s">
        <v>748</v>
      </c>
      <c r="Z61" s="6" t="str">
        <f>VLOOKUP(H61,PortConfigOptions!$B$1:$R$89,2,FALSE)</f>
        <v>TRUE, FALSE</v>
      </c>
      <c r="AA61" s="6" t="str">
        <f>VLOOKUP(H61,PortConfigOptions!$B$1:$R$89,3,FALSE)</f>
        <v>TRUE, FALSE</v>
      </c>
      <c r="AB61" s="6" t="str">
        <f>VLOOKUP(H61,PortConfigOptions!$B$1:$R$89,4,FALSE)</f>
        <v>TRUE, FALSE</v>
      </c>
      <c r="AC61" s="6" t="str">
        <f>VLOOKUP(H61,PortConfigOptions!$B$1:$R$89,5,FALSE)</f>
        <v>PORT_PIN_LEVEL_LOW, PORT_PIN_LEVEL_HIGH</v>
      </c>
      <c r="AD61" s="6" t="str">
        <f>VLOOKUP(H61,PortConfigOptions!$B$1:$R$89,6,FALSE)</f>
        <v>ADCD1CNV1_ALT1_OUT, TAUD1ODI14_ALT2_IN, TAUD1O14_ALT2_OUT, TAUD2I7_ALT3_IN, ADCA0CNV4_ALT3_OUT, TAUD2O7_ALT4_OUT, DIO</v>
      </c>
      <c r="AE61" s="6" t="str">
        <f>VLOOKUP(H61,PortConfigOptions!$B$1:$R$89,7,FALSE)</f>
        <v>PORT_PIN_OUT, PORT_PIN_IN</v>
      </c>
      <c r="AF61" s="6" t="str">
        <f>VLOOKUP(H61,PortConfigOptions!$B$1:$R$89,8,FALSE)</f>
        <v>TRUE, FALSE</v>
      </c>
      <c r="AG61" s="6" t="str">
        <f>VLOOKUP(H61,PortConfigOptions!$B$1:$R$89,9,FALSE)</f>
        <v>TRUE, FALSE</v>
      </c>
      <c r="AH61" s="6" t="str">
        <f>VLOOKUP(H61,PortConfigOptions!$B$1:$R$89,10,FALSE)</f>
        <v>TRUE, FALSE</v>
      </c>
      <c r="AI61" s="6" t="str">
        <f>VLOOKUP(H61,PortConfigOptions!$B$1:$R$89,11,FALSE)</f>
        <v>TRUE, FALSE</v>
      </c>
      <c r="AJ61" s="6" t="str">
        <f>VLOOKUP(H61,PortConfigOptions!$B$1:$R$89,12,FALSE)</f>
        <v>TRUE, FALSE</v>
      </c>
      <c r="AK61" s="6" t="str">
        <f>VLOOKUP(H61,PortConfigOptions!$B$1:$R$89,13,FALSE)</f>
        <v>OpenDrain_PushPull, OpenDrain_N_Channel, OpenDrain_P_Channel</v>
      </c>
      <c r="AL61" s="6" t="str">
        <f>VLOOKUP(H61,PortConfigOptions!$B$1:$R$89,14,FALSE)</f>
        <v>TRUE, FALSE</v>
      </c>
      <c r="AM61" s="6" t="str">
        <f>VLOOKUP(H61,PortConfigOptions!$B$1:$R$89,15,FALSE)</f>
        <v>SLOW, FAST, MIDDLE_0, MIDDLE_1</v>
      </c>
      <c r="AN61" s="6" t="str">
        <f>VLOOKUP(H61,PortConfigOptions!$B$1:$R$89,16,FALSE)</f>
        <v>SLOW, FAST, MIDDLE</v>
      </c>
      <c r="AO61" s="6" t="str">
        <f>VLOOKUP(H61,PortConfigOptions!$B$1:$R$89,17,FALSE)</f>
        <v>TYPE_1_SUPP_PISA, TYPE_2_SUPP_PISA</v>
      </c>
      <c r="AS61" s="7" t="s">
        <v>270</v>
      </c>
      <c r="AT61" s="7" t="s">
        <v>296</v>
      </c>
      <c r="AU61" s="6" t="s">
        <v>271</v>
      </c>
      <c r="AV61" s="6" t="s">
        <v>231</v>
      </c>
    </row>
    <row r="62" spans="1:48" x14ac:dyDescent="0.25">
      <c r="A62" s="6">
        <v>140</v>
      </c>
      <c r="B62" s="7">
        <v>102</v>
      </c>
      <c r="D62" s="7" t="s">
        <v>6</v>
      </c>
      <c r="E62" s="7" t="s">
        <v>6</v>
      </c>
      <c r="F62" s="7" t="s">
        <v>701</v>
      </c>
      <c r="G62" s="6" t="s">
        <v>291</v>
      </c>
      <c r="H62" s="6" t="s">
        <v>291</v>
      </c>
      <c r="I62" s="6" t="b">
        <v>0</v>
      </c>
      <c r="J62" s="6" t="b">
        <v>0</v>
      </c>
      <c r="K62" s="6" t="b">
        <v>0</v>
      </c>
      <c r="L62" s="6" t="s">
        <v>699</v>
      </c>
      <c r="M62" s="7" t="s">
        <v>701</v>
      </c>
      <c r="N62" s="6" t="s">
        <v>734</v>
      </c>
      <c r="O62" s="6" t="b">
        <v>0</v>
      </c>
      <c r="P62" s="7" t="b">
        <v>0</v>
      </c>
      <c r="Q62" s="19" t="s">
        <v>6</v>
      </c>
      <c r="R62" s="7" t="b">
        <v>0</v>
      </c>
      <c r="S62" s="7" t="b">
        <v>0</v>
      </c>
      <c r="T62" s="7" t="s">
        <v>737</v>
      </c>
      <c r="U62" s="7" t="b">
        <v>0</v>
      </c>
      <c r="V62" s="6" t="s">
        <v>762</v>
      </c>
      <c r="W62" s="6" t="s">
        <v>762</v>
      </c>
      <c r="X62" s="19" t="s">
        <v>6</v>
      </c>
      <c r="Z62" s="6" t="str">
        <f>VLOOKUP(H62,PortConfigOptions!$B$1:$R$89,2,FALSE)</f>
        <v>TRUE, FALSE</v>
      </c>
      <c r="AA62" s="6" t="str">
        <f>VLOOKUP(H62,PortConfigOptions!$B$1:$R$89,3,FALSE)</f>
        <v>TRUE, FALSE</v>
      </c>
      <c r="AB62" s="6" t="str">
        <f>VLOOKUP(H62,PortConfigOptions!$B$1:$R$89,4,FALSE)</f>
        <v>TRUE, FALSE</v>
      </c>
      <c r="AC62" s="6" t="str">
        <f>VLOOKUP(H62,PortConfigOptions!$B$1:$R$89,5,FALSE)</f>
        <v>PORT_PIN_LEVEL_LOW, PORT_PIN_LEVEL_HIGH</v>
      </c>
      <c r="AD62" s="6" t="str">
        <f>VLOOKUP(H62,PortConfigOptions!$B$1:$R$89,6,FALSE)</f>
        <v>RLIN30TX_ALT4_OUT, CSIH3RYO_ALT6_OUT, DIO</v>
      </c>
      <c r="AE62" s="6" t="str">
        <f>VLOOKUP(H62,PortConfigOptions!$B$1:$R$89,7,FALSE)</f>
        <v>PORT_PIN_OUT, PORT_PIN_IN</v>
      </c>
      <c r="AF62" s="6" t="str">
        <f>VLOOKUP(H62,PortConfigOptions!$B$1:$R$89,8,FALSE)</f>
        <v>TRUE, FALSE</v>
      </c>
      <c r="AG62" s="6" t="str">
        <f>VLOOKUP(H62,PortConfigOptions!$B$1:$R$89,9,FALSE)</f>
        <v>TRUE, FALSE</v>
      </c>
      <c r="AH62" s="6">
        <f>VLOOKUP(H62,PortConfigOptions!$B$1:$R$89,10,FALSE)</f>
        <v>0</v>
      </c>
      <c r="AI62" s="6" t="str">
        <f>VLOOKUP(H62,PortConfigOptions!$B$1:$R$89,11,FALSE)</f>
        <v>TRUE, FALSE</v>
      </c>
      <c r="AJ62" s="6" t="str">
        <f>VLOOKUP(H62,PortConfigOptions!$B$1:$R$89,12,FALSE)</f>
        <v>TRUE, FALSE</v>
      </c>
      <c r="AK62" s="6" t="str">
        <f>VLOOKUP(H62,PortConfigOptions!$B$1:$R$89,13,FALSE)</f>
        <v>OpenDrain_PushPull, OpenDrain_N_Channel, OpenDrain_P_Channel</v>
      </c>
      <c r="AL62" s="6" t="str">
        <f>VLOOKUP(H62,PortConfigOptions!$B$1:$R$89,14,FALSE)</f>
        <v>TRUE, FALSE</v>
      </c>
      <c r="AM62" s="6" t="str">
        <f>VLOOKUP(H62,PortConfigOptions!$B$1:$R$89,15,FALSE)</f>
        <v>SLOW, FAST, MIDDLE_0, MIDDLE_1</v>
      </c>
      <c r="AN62" s="6" t="str">
        <f>VLOOKUP(H62,PortConfigOptions!$B$1:$R$89,16,FALSE)</f>
        <v>SLOW, FAST, MIDDLE</v>
      </c>
      <c r="AO62" s="6">
        <f>VLOOKUP(H62,PortConfigOptions!$B$1:$R$89,17,FALSE)</f>
        <v>0</v>
      </c>
      <c r="AS62" s="7" t="s">
        <v>270</v>
      </c>
      <c r="AT62" s="7" t="s">
        <v>296</v>
      </c>
      <c r="AU62" s="6" t="s">
        <v>271</v>
      </c>
      <c r="AV62" s="6" t="s">
        <v>235</v>
      </c>
    </row>
    <row r="63" spans="1:48" x14ac:dyDescent="0.25">
      <c r="A63" s="6">
        <v>50</v>
      </c>
      <c r="B63" s="7">
        <v>103</v>
      </c>
      <c r="D63" s="7" t="s">
        <v>92</v>
      </c>
      <c r="E63" s="7" t="s">
        <v>474</v>
      </c>
      <c r="F63" s="7" t="s">
        <v>241</v>
      </c>
      <c r="G63" s="7" t="s">
        <v>93</v>
      </c>
      <c r="H63" s="6" t="s">
        <v>313</v>
      </c>
      <c r="I63" s="6" t="b">
        <v>0</v>
      </c>
      <c r="J63" s="6" t="b">
        <v>0</v>
      </c>
      <c r="K63" s="6" t="b">
        <v>0</v>
      </c>
      <c r="L63" s="6" t="s">
        <v>699</v>
      </c>
      <c r="M63" s="7" t="s">
        <v>712</v>
      </c>
      <c r="N63" s="6" t="s">
        <v>735</v>
      </c>
      <c r="O63" s="7" t="b">
        <v>0</v>
      </c>
      <c r="P63" s="7" t="b">
        <v>0</v>
      </c>
      <c r="Q63" s="19" t="s">
        <v>6</v>
      </c>
      <c r="R63" s="7" t="b">
        <v>0</v>
      </c>
      <c r="S63" s="7" t="b">
        <v>0</v>
      </c>
      <c r="T63" s="7" t="s">
        <v>736</v>
      </c>
      <c r="U63" s="7" t="b">
        <v>0</v>
      </c>
      <c r="V63" s="6" t="s">
        <v>762</v>
      </c>
      <c r="W63" s="6" t="s">
        <v>762</v>
      </c>
      <c r="X63" s="7" t="s">
        <v>748</v>
      </c>
      <c r="Z63" s="6" t="str">
        <f>VLOOKUP(H63,PortConfigOptions!$B$1:$R$89,2,FALSE)</f>
        <v>TRUE, FALSE</v>
      </c>
      <c r="AA63" s="6" t="str">
        <f>VLOOKUP(H63,PortConfigOptions!$B$1:$R$89,3,FALSE)</f>
        <v>TRUE, FALSE</v>
      </c>
      <c r="AB63" s="6" t="str">
        <f>VLOOKUP(H63,PortConfigOptions!$B$1:$R$89,4,FALSE)</f>
        <v>TRUE, FALSE</v>
      </c>
      <c r="AC63" s="6" t="str">
        <f>VLOOKUP(H63,PortConfigOptions!$B$1:$R$89,5,FALSE)</f>
        <v>PORT_PIN_LEVEL_LOW, PORT_PIN_LEVEL_HIGH</v>
      </c>
      <c r="AD63" s="6" t="str">
        <f>VLOOKUP(H63,PortConfigOptions!$B$1:$R$89,6,FALSE)</f>
        <v>TAUJ2I0_ALT1_IN, TAUJ2O0_ALT1_OUT, TAUJ1I0_ALT2_IN, TAUJ1O0_ALT2_OUT, TAUD2I12_ALT3_IN, TAUD2O12_ALT3_OUT, RLIN30RX_ALT4_IN, INTP3_ALT4_IN, CSIH2CSS0_ALT4_OUT, TAUD0I6_ALT5_IN, CSIH3RYI_ALT6_IN, DIO</v>
      </c>
      <c r="AE63" s="6" t="str">
        <f>VLOOKUP(H63,PortConfigOptions!$B$1:$R$89,7,FALSE)</f>
        <v>PORT_PIN_OUT, PORT_PIN_IN</v>
      </c>
      <c r="AF63" s="6" t="str">
        <f>VLOOKUP(H63,PortConfigOptions!$B$1:$R$89,8,FALSE)</f>
        <v>TRUE, FALSE</v>
      </c>
      <c r="AG63" s="6" t="str">
        <f>VLOOKUP(H63,PortConfigOptions!$B$1:$R$89,9,FALSE)</f>
        <v>TRUE, FALSE</v>
      </c>
      <c r="AH63" s="6">
        <f>VLOOKUP(H63,PortConfigOptions!$B$1:$R$89,10,FALSE)</f>
        <v>0</v>
      </c>
      <c r="AI63" s="6" t="str">
        <f>VLOOKUP(H63,PortConfigOptions!$B$1:$R$89,11,FALSE)</f>
        <v>TRUE, FALSE</v>
      </c>
      <c r="AJ63" s="6" t="str">
        <f>VLOOKUP(H63,PortConfigOptions!$B$1:$R$89,12,FALSE)</f>
        <v>TRUE, FALSE</v>
      </c>
      <c r="AK63" s="6" t="str">
        <f>VLOOKUP(H63,PortConfigOptions!$B$1:$R$89,13,FALSE)</f>
        <v>OpenDrain_PushPull, OpenDrain_N_Channel, OpenDrain_P_Channel</v>
      </c>
      <c r="AL63" s="6" t="str">
        <f>VLOOKUP(H63,PortConfigOptions!$B$1:$R$89,14,FALSE)</f>
        <v>TRUE, FALSE</v>
      </c>
      <c r="AM63" s="6" t="str">
        <f>VLOOKUP(H63,PortConfigOptions!$B$1:$R$89,15,FALSE)</f>
        <v>SLOW, FAST, MIDDLE_0, MIDDLE_1</v>
      </c>
      <c r="AN63" s="6" t="str">
        <f>VLOOKUP(H63,PortConfigOptions!$B$1:$R$89,16,FALSE)</f>
        <v>SLOW, FAST, MIDDLE</v>
      </c>
      <c r="AO63" s="6" t="str">
        <f>VLOOKUP(H63,PortConfigOptions!$B$1:$R$89,17,FALSE)</f>
        <v>TYPE_1_SUPP_PISA, TYPE_2_SUPP_PISA</v>
      </c>
      <c r="AV63" s="6" t="s">
        <v>94</v>
      </c>
    </row>
    <row r="64" spans="1:48" x14ac:dyDescent="0.25">
      <c r="A64" s="6">
        <v>48</v>
      </c>
      <c r="B64" s="7">
        <v>104</v>
      </c>
      <c r="D64" s="7" t="s">
        <v>86</v>
      </c>
      <c r="E64" s="7" t="s">
        <v>475</v>
      </c>
      <c r="F64" s="7" t="s">
        <v>241</v>
      </c>
      <c r="G64" s="7" t="s">
        <v>87</v>
      </c>
      <c r="H64" s="6" t="s">
        <v>311</v>
      </c>
      <c r="I64" s="6" t="b">
        <v>0</v>
      </c>
      <c r="J64" s="6" t="b">
        <v>0</v>
      </c>
      <c r="K64" s="6" t="b">
        <v>0</v>
      </c>
      <c r="L64" s="7" t="s">
        <v>699</v>
      </c>
      <c r="M64" s="7" t="s">
        <v>713</v>
      </c>
      <c r="N64" s="6" t="s">
        <v>734</v>
      </c>
      <c r="O64" s="7" t="b">
        <v>0</v>
      </c>
      <c r="P64" s="7" t="b">
        <v>0</v>
      </c>
      <c r="Q64" s="19" t="s">
        <v>6</v>
      </c>
      <c r="R64" s="7" t="b">
        <v>0</v>
      </c>
      <c r="S64" s="7" t="b">
        <v>0</v>
      </c>
      <c r="T64" s="7" t="s">
        <v>737</v>
      </c>
      <c r="U64" s="7" t="b">
        <v>0</v>
      </c>
      <c r="V64" s="6" t="s">
        <v>762</v>
      </c>
      <c r="W64" s="6" t="s">
        <v>762</v>
      </c>
      <c r="X64" s="7" t="s">
        <v>748</v>
      </c>
      <c r="Z64" s="6" t="str">
        <f>VLOOKUP(H64,PortConfigOptions!$B$1:$R$89,2,FALSE)</f>
        <v>TRUE, FALSE</v>
      </c>
      <c r="AA64" s="6" t="str">
        <f>VLOOKUP(H64,PortConfigOptions!$B$1:$R$89,3,FALSE)</f>
        <v>TRUE, FALSE</v>
      </c>
      <c r="AB64" s="6" t="str">
        <f>VLOOKUP(H64,PortConfigOptions!$B$1:$R$89,4,FALSE)</f>
        <v>TRUE, FALSE</v>
      </c>
      <c r="AC64" s="6" t="str">
        <f>VLOOKUP(H64,PortConfigOptions!$B$1:$R$89,5,FALSE)</f>
        <v>PORT_PIN_LEVEL_LOW, PORT_PIN_LEVEL_HIGH</v>
      </c>
      <c r="AD64" s="6" t="str">
        <f>VLOOKUP(H64,PortConfigOptions!$B$1:$R$89,6,FALSE)</f>
        <v>TAUJ2I1_ALT1_IN, TAUJ2O1_ALT1_OUT, TAUJ1I1_ALT2_IN, TAUJ1O1_ALT2_OUT, TAUD2I13_ALT3_IN, TAUD2O13_ALT3_OUT, CSIH2SI_ALT4_IN, TAUD0I8_ALT5_IN, CSIH3SI_ALT6_IN, DIO</v>
      </c>
      <c r="AE64" s="6" t="str">
        <f>VLOOKUP(H64,PortConfigOptions!$B$1:$R$89,7,FALSE)</f>
        <v>PORT_PIN_OUT, PORT_PIN_IN</v>
      </c>
      <c r="AF64" s="6" t="str">
        <f>VLOOKUP(H64,PortConfigOptions!$B$1:$R$89,8,FALSE)</f>
        <v>TRUE, FALSE</v>
      </c>
      <c r="AG64" s="6" t="str">
        <f>VLOOKUP(H64,PortConfigOptions!$B$1:$R$89,9,FALSE)</f>
        <v>TRUE, FALSE</v>
      </c>
      <c r="AH64" s="6">
        <f>VLOOKUP(H64,PortConfigOptions!$B$1:$R$89,10,FALSE)</f>
        <v>0</v>
      </c>
      <c r="AI64" s="6" t="str">
        <f>VLOOKUP(H64,PortConfigOptions!$B$1:$R$89,11,FALSE)</f>
        <v>TRUE, FALSE</v>
      </c>
      <c r="AJ64" s="6" t="str">
        <f>VLOOKUP(H64,PortConfigOptions!$B$1:$R$89,12,FALSE)</f>
        <v>TRUE, FALSE</v>
      </c>
      <c r="AK64" s="6" t="str">
        <f>VLOOKUP(H64,PortConfigOptions!$B$1:$R$89,13,FALSE)</f>
        <v>OpenDrain_PushPull, OpenDrain_N_Channel, OpenDrain_P_Channel</v>
      </c>
      <c r="AL64" s="6" t="str">
        <f>VLOOKUP(H64,PortConfigOptions!$B$1:$R$89,14,FALSE)</f>
        <v>TRUE, FALSE</v>
      </c>
      <c r="AM64" s="6" t="str">
        <f>VLOOKUP(H64,PortConfigOptions!$B$1:$R$89,15,FALSE)</f>
        <v>SLOW, FAST, MIDDLE_0, MIDDLE_1</v>
      </c>
      <c r="AN64" s="6" t="str">
        <f>VLOOKUP(H64,PortConfigOptions!$B$1:$R$89,16,FALSE)</f>
        <v>SLOW, FAST, MIDDLE</v>
      </c>
      <c r="AO64" s="6" t="str">
        <f>VLOOKUP(H64,PortConfigOptions!$B$1:$R$89,17,FALSE)</f>
        <v>TYPE_1_SUPP_PISA, TYPE_2_SUPP_PISA</v>
      </c>
      <c r="AV64" s="6" t="s">
        <v>88</v>
      </c>
    </row>
    <row r="65" spans="1:48" x14ac:dyDescent="0.25">
      <c r="A65" s="6">
        <v>49</v>
      </c>
      <c r="B65" s="7">
        <v>105</v>
      </c>
      <c r="D65" s="7" t="s">
        <v>90</v>
      </c>
      <c r="E65" s="7" t="s">
        <v>476</v>
      </c>
      <c r="F65" s="7" t="s">
        <v>241</v>
      </c>
      <c r="G65" s="7" t="s">
        <v>89</v>
      </c>
      <c r="H65" s="6" t="s">
        <v>312</v>
      </c>
      <c r="I65" s="6" t="b">
        <v>0</v>
      </c>
      <c r="J65" s="6" t="b">
        <v>0</v>
      </c>
      <c r="K65" s="6" t="b">
        <v>0</v>
      </c>
      <c r="L65" s="6" t="s">
        <v>699</v>
      </c>
      <c r="M65" s="7" t="s">
        <v>714</v>
      </c>
      <c r="N65" s="6" t="s">
        <v>735</v>
      </c>
      <c r="O65" s="7" t="b">
        <v>0</v>
      </c>
      <c r="P65" s="7" t="b">
        <v>0</v>
      </c>
      <c r="Q65" s="11" t="b">
        <v>1</v>
      </c>
      <c r="R65" s="7" t="b">
        <v>0</v>
      </c>
      <c r="S65" s="7" t="b">
        <v>0</v>
      </c>
      <c r="T65" s="7" t="s">
        <v>736</v>
      </c>
      <c r="U65" s="7" t="b">
        <v>0</v>
      </c>
      <c r="V65" s="6" t="s">
        <v>762</v>
      </c>
      <c r="W65" s="6" t="s">
        <v>762</v>
      </c>
      <c r="X65" s="7" t="s">
        <v>748</v>
      </c>
      <c r="Z65" s="6" t="str">
        <f>VLOOKUP(H65,PortConfigOptions!$B$1:$R$89,2,FALSE)</f>
        <v>TRUE, FALSE</v>
      </c>
      <c r="AA65" s="6" t="str">
        <f>VLOOKUP(H65,PortConfigOptions!$B$1:$R$89,3,FALSE)</f>
        <v>TRUE, FALSE</v>
      </c>
      <c r="AB65" s="6" t="str">
        <f>VLOOKUP(H65,PortConfigOptions!$B$1:$R$89,4,FALSE)</f>
        <v>TRUE, FALSE</v>
      </c>
      <c r="AC65" s="6" t="str">
        <f>VLOOKUP(H65,PortConfigOptions!$B$1:$R$89,5,FALSE)</f>
        <v>PORT_PIN_LEVEL_LOW, PORT_PIN_LEVEL_HIGH</v>
      </c>
      <c r="AD65" s="6" t="str">
        <f>VLOOKUP(H65,PortConfigOptions!$B$1:$R$89,6,FALSE)</f>
        <v>TAUJ2I2_ALT1_IN, TAUJ2O2_ALT1_OUT, TAUJ1I2_ALT2_IN, TAUJ1O2_ALT2_OUT, TAUD2I14_ALT3_IN, TAUD2O14_ALT3_OUT, CSIH2DCS_ALT4_IN, CSIH2SO_ALT4_OUT, TAUD0I10_ALT5_IN, CSIH3DCS_ALT6_IN, CSIH3SO_ALT6_OUT, DIO</v>
      </c>
      <c r="AE65" s="6" t="str">
        <f>VLOOKUP(H65,PortConfigOptions!$B$1:$R$89,7,FALSE)</f>
        <v>PORT_PIN_OUT, PORT_PIN_IN</v>
      </c>
      <c r="AF65" s="6" t="str">
        <f>VLOOKUP(H65,PortConfigOptions!$B$1:$R$89,8,FALSE)</f>
        <v>TRUE, FALSE</v>
      </c>
      <c r="AG65" s="6" t="str">
        <f>VLOOKUP(H65,PortConfigOptions!$B$1:$R$89,9,FALSE)</f>
        <v>TRUE, FALSE</v>
      </c>
      <c r="AH65" s="6" t="str">
        <f>VLOOKUP(H65,PortConfigOptions!$B$1:$R$89,10,FALSE)</f>
        <v>TRUE, FALSE</v>
      </c>
      <c r="AI65" s="6" t="str">
        <f>VLOOKUP(H65,PortConfigOptions!$B$1:$R$89,11,FALSE)</f>
        <v>TRUE, FALSE</v>
      </c>
      <c r="AJ65" s="6" t="str">
        <f>VLOOKUP(H65,PortConfigOptions!$B$1:$R$89,12,FALSE)</f>
        <v>TRUE, FALSE</v>
      </c>
      <c r="AK65" s="6" t="str">
        <f>VLOOKUP(H65,PortConfigOptions!$B$1:$R$89,13,FALSE)</f>
        <v>OpenDrain_PushPull, OpenDrain_N_Channel, OpenDrain_P_Channel</v>
      </c>
      <c r="AL65" s="6" t="str">
        <f>VLOOKUP(H65,PortConfigOptions!$B$1:$R$89,14,FALSE)</f>
        <v>TRUE, FALSE</v>
      </c>
      <c r="AM65" s="6" t="str">
        <f>VLOOKUP(H65,PortConfigOptions!$B$1:$R$89,15,FALSE)</f>
        <v>SLOW, FAST, MIDDLE_0, MIDDLE_1</v>
      </c>
      <c r="AN65" s="6" t="str">
        <f>VLOOKUP(H65,PortConfigOptions!$B$1:$R$89,16,FALSE)</f>
        <v>SLOW, FAST, MIDDLE</v>
      </c>
      <c r="AO65" s="6" t="str">
        <f>VLOOKUP(H65,PortConfigOptions!$B$1:$R$89,17,FALSE)</f>
        <v>TYPE_1_SUPP_PISA, TYPE_2_SUPP_PISA</v>
      </c>
      <c r="AV65" s="6" t="s">
        <v>91</v>
      </c>
    </row>
    <row r="66" spans="1:48" x14ac:dyDescent="0.25">
      <c r="A66" s="6">
        <v>47</v>
      </c>
      <c r="B66" s="7">
        <v>106</v>
      </c>
      <c r="D66" s="7" t="s">
        <v>83</v>
      </c>
      <c r="E66" s="7" t="s">
        <v>477</v>
      </c>
      <c r="F66" s="7" t="s">
        <v>241</v>
      </c>
      <c r="G66" s="7" t="s">
        <v>84</v>
      </c>
      <c r="H66" s="6" t="s">
        <v>310</v>
      </c>
      <c r="I66" s="6" t="b">
        <v>0</v>
      </c>
      <c r="J66" s="6" t="b">
        <v>0</v>
      </c>
      <c r="K66" s="6" t="b">
        <v>0</v>
      </c>
      <c r="L66" s="6" t="s">
        <v>699</v>
      </c>
      <c r="M66" s="7" t="s">
        <v>715</v>
      </c>
      <c r="N66" s="6" t="s">
        <v>735</v>
      </c>
      <c r="O66" s="7" t="b">
        <v>0</v>
      </c>
      <c r="P66" s="7" t="b">
        <v>0</v>
      </c>
      <c r="Q66" s="7" t="b">
        <v>0</v>
      </c>
      <c r="R66" s="7" t="b">
        <v>0</v>
      </c>
      <c r="S66" s="7" t="b">
        <v>0</v>
      </c>
      <c r="T66" s="7" t="s">
        <v>736</v>
      </c>
      <c r="U66" s="7" t="b">
        <v>0</v>
      </c>
      <c r="V66" s="6" t="s">
        <v>762</v>
      </c>
      <c r="W66" s="6" t="s">
        <v>762</v>
      </c>
      <c r="X66" s="7" t="s">
        <v>748</v>
      </c>
      <c r="Z66" s="6" t="str">
        <f>VLOOKUP(H66,PortConfigOptions!$B$1:$R$89,2,FALSE)</f>
        <v>TRUE, FALSE</v>
      </c>
      <c r="AA66" s="6" t="str">
        <f>VLOOKUP(H66,PortConfigOptions!$B$1:$R$89,3,FALSE)</f>
        <v>TRUE, FALSE</v>
      </c>
      <c r="AB66" s="6" t="str">
        <f>VLOOKUP(H66,PortConfigOptions!$B$1:$R$89,4,FALSE)</f>
        <v>TRUE, FALSE</v>
      </c>
      <c r="AC66" s="6" t="str">
        <f>VLOOKUP(H66,PortConfigOptions!$B$1:$R$89,5,FALSE)</f>
        <v>PORT_PIN_LEVEL_LOW, PORT_PIN_LEVEL_HIGH</v>
      </c>
      <c r="AD66" s="6" t="str">
        <f>VLOOKUP(H66,PortConfigOptions!$B$1:$R$89,6,FALSE)</f>
        <v>TAUJ2I3_ALT1_IN, TAUJ2O3_ALT1_OUT, TTAUJ1I3_ALT2_IN, TAUJ1O3_ALT2_OUT, TAUD2I15_ALT3_IN, TAUD2O15_ALT3_OUT, CSIH2SCI_ALT4_IN, CSIH2SCO_ALT4_OUT, CSIH3SCI_ALT6_IN, CSIH3SCO_ALT6_OUT, DIO</v>
      </c>
      <c r="AE66" s="6" t="str">
        <f>VLOOKUP(H66,PortConfigOptions!$B$1:$R$89,7,FALSE)</f>
        <v>PORT_PIN_OUT, PORT_PIN_IN</v>
      </c>
      <c r="AF66" s="6" t="str">
        <f>VLOOKUP(H66,PortConfigOptions!$B$1:$R$89,8,FALSE)</f>
        <v>TRUE, FALSE</v>
      </c>
      <c r="AG66" s="6" t="str">
        <f>VLOOKUP(H66,PortConfigOptions!$B$1:$R$89,9,FALSE)</f>
        <v>TRUE, FALSE</v>
      </c>
      <c r="AH66" s="6" t="str">
        <f>VLOOKUP(H66,PortConfigOptions!$B$1:$R$89,10,FALSE)</f>
        <v>TRUE, FALSE</v>
      </c>
      <c r="AI66" s="6" t="str">
        <f>VLOOKUP(H66,PortConfigOptions!$B$1:$R$89,11,FALSE)</f>
        <v>TRUE, FALSE</v>
      </c>
      <c r="AJ66" s="6" t="str">
        <f>VLOOKUP(H66,PortConfigOptions!$B$1:$R$89,12,FALSE)</f>
        <v>TRUE, FALSE</v>
      </c>
      <c r="AK66" s="6" t="str">
        <f>VLOOKUP(H66,PortConfigOptions!$B$1:$R$89,13,FALSE)</f>
        <v>OpenDrain_PushPull, OpenDrain_N_Channel, OpenDrain_P_Channel</v>
      </c>
      <c r="AL66" s="6" t="str">
        <f>VLOOKUP(H66,PortConfigOptions!$B$1:$R$89,14,FALSE)</f>
        <v>TRUE, FALSE</v>
      </c>
      <c r="AM66" s="6" t="str">
        <f>VLOOKUP(H66,PortConfigOptions!$B$1:$R$89,15,FALSE)</f>
        <v>SLOW, FAST, MIDDLE_0, MIDDLE_1</v>
      </c>
      <c r="AN66" s="6" t="str">
        <f>VLOOKUP(H66,PortConfigOptions!$B$1:$R$89,16,FALSE)</f>
        <v>SLOW, FAST, MIDDLE</v>
      </c>
      <c r="AO66" s="6" t="str">
        <f>VLOOKUP(H66,PortConfigOptions!$B$1:$R$89,17,FALSE)</f>
        <v>TYPE_1_SUPP_PISA, TYPE_2_SUPP_PISA</v>
      </c>
      <c r="AV66" s="6" t="s">
        <v>85</v>
      </c>
    </row>
    <row r="67" spans="1:48" x14ac:dyDescent="0.25">
      <c r="A67" s="6">
        <v>1</v>
      </c>
      <c r="B67" s="7">
        <v>109</v>
      </c>
      <c r="D67" s="7" t="s">
        <v>7</v>
      </c>
      <c r="E67" s="7" t="s">
        <v>501</v>
      </c>
      <c r="F67" s="7" t="s">
        <v>255</v>
      </c>
      <c r="G67" s="7" t="s">
        <v>8</v>
      </c>
      <c r="H67" s="6" t="s">
        <v>297</v>
      </c>
      <c r="I67" s="6" t="b">
        <v>0</v>
      </c>
      <c r="J67" s="6" t="b">
        <v>0</v>
      </c>
      <c r="K67" s="6" t="b">
        <v>0</v>
      </c>
      <c r="L67" s="6" t="s">
        <v>699</v>
      </c>
      <c r="M67" s="7" t="s">
        <v>716</v>
      </c>
      <c r="N67" s="6" t="s">
        <v>734</v>
      </c>
      <c r="O67" s="7" t="b">
        <v>0</v>
      </c>
      <c r="P67" s="7" t="b">
        <v>0</v>
      </c>
      <c r="Q67" s="19" t="s">
        <v>6</v>
      </c>
      <c r="R67" s="7" t="b">
        <v>0</v>
      </c>
      <c r="S67" s="7" t="b">
        <v>0</v>
      </c>
      <c r="T67" s="7" t="s">
        <v>737</v>
      </c>
      <c r="U67" s="7" t="b">
        <v>0</v>
      </c>
      <c r="V67" s="6" t="s">
        <v>762</v>
      </c>
      <c r="W67" s="6" t="s">
        <v>762</v>
      </c>
      <c r="X67" s="7" t="s">
        <v>748</v>
      </c>
      <c r="Z67" s="6" t="str">
        <f>VLOOKUP(H67,PortConfigOptions!$B$1:$R$89,2,FALSE)</f>
        <v>TRUE, FALSE</v>
      </c>
      <c r="AA67" s="6" t="str">
        <f>VLOOKUP(H67,PortConfigOptions!$B$1:$R$89,3,FALSE)</f>
        <v>TRUE, FALSE</v>
      </c>
      <c r="AB67" s="6" t="str">
        <f>VLOOKUP(H67,PortConfigOptions!$B$1:$R$89,4,FALSE)</f>
        <v>TRUE, FALSE</v>
      </c>
      <c r="AC67" s="6" t="str">
        <f>VLOOKUP(H67,PortConfigOptions!$B$1:$R$89,5,FALSE)</f>
        <v>PORT_PIN_LEVEL_LOW, PORT_PIN_LEVEL_HIGH</v>
      </c>
      <c r="AD67" s="6" t="str">
        <f>VLOOKUP(H67,PortConfigOptions!$B$1:$R$89,6,FALSE)</f>
        <v>RSCAN0RX0_ALT1_IN, INTP5_ALT1_IN, CSIH2S_ALT2_IN, TAUD2I11_ALT3_IN, TAUD2O11_ALT3_OUT, CSIH3CSS6_ALT4_OUT, DIO</v>
      </c>
      <c r="AE67" s="6" t="str">
        <f>VLOOKUP(H67,PortConfigOptions!$B$1:$R$89,7,FALSE)</f>
        <v>PORT_PIN_OUT, PORT_PIN_IN</v>
      </c>
      <c r="AF67" s="6" t="str">
        <f>VLOOKUP(H67,PortConfigOptions!$B$1:$R$89,8,FALSE)</f>
        <v>TRUE, FALSE</v>
      </c>
      <c r="AG67" s="6" t="str">
        <f>VLOOKUP(H67,PortConfigOptions!$B$1:$R$89,9,FALSE)</f>
        <v>TRUE, FALSE</v>
      </c>
      <c r="AH67" s="6">
        <f>VLOOKUP(H67,PortConfigOptions!$B$1:$R$89,10,FALSE)</f>
        <v>0</v>
      </c>
      <c r="AI67" s="6" t="str">
        <f>VLOOKUP(H67,PortConfigOptions!$B$1:$R$89,11,FALSE)</f>
        <v>TRUE, FALSE</v>
      </c>
      <c r="AJ67" s="6" t="str">
        <f>VLOOKUP(H67,PortConfigOptions!$B$1:$R$89,12,FALSE)</f>
        <v>TRUE, FALSE</v>
      </c>
      <c r="AK67" s="6" t="str">
        <f>VLOOKUP(H67,PortConfigOptions!$B$1:$R$89,13,FALSE)</f>
        <v>OpenDrain_PushPull, OpenDrain_N_Channel, OpenDrain_P_Channel</v>
      </c>
      <c r="AL67" s="6" t="str">
        <f>VLOOKUP(H67,PortConfigOptions!$B$1:$R$89,14,FALSE)</f>
        <v>TRUE, FALSE</v>
      </c>
      <c r="AM67" s="6" t="str">
        <f>VLOOKUP(H67,PortConfigOptions!$B$1:$R$89,15,FALSE)</f>
        <v>SLOW, FAST, MIDDLE_0, MIDDLE_1</v>
      </c>
      <c r="AN67" s="6" t="str">
        <f>VLOOKUP(H67,PortConfigOptions!$B$1:$R$89,16,FALSE)</f>
        <v>SLOW, FAST, MIDDLE</v>
      </c>
      <c r="AO67" s="6" t="str">
        <f>VLOOKUP(H67,PortConfigOptions!$B$1:$R$89,17,FALSE)</f>
        <v>TYPE_1_SUPP_PISA, TYPE_2_SUPP_PISA</v>
      </c>
      <c r="AS67" s="7" t="s">
        <v>274</v>
      </c>
      <c r="AV67" s="6" t="s">
        <v>9</v>
      </c>
    </row>
    <row r="68" spans="1:48" x14ac:dyDescent="0.25">
      <c r="A68" s="6">
        <v>2</v>
      </c>
      <c r="B68" s="7">
        <v>110</v>
      </c>
      <c r="D68" s="7" t="s">
        <v>10</v>
      </c>
      <c r="E68" s="7" t="s">
        <v>502</v>
      </c>
      <c r="F68" s="7" t="s">
        <v>255</v>
      </c>
      <c r="G68" s="7" t="s">
        <v>11</v>
      </c>
      <c r="H68" s="6" t="s">
        <v>298</v>
      </c>
      <c r="I68" s="6" t="b">
        <v>0</v>
      </c>
      <c r="J68" s="6" t="b">
        <v>0</v>
      </c>
      <c r="K68" s="6" t="b">
        <v>0</v>
      </c>
      <c r="L68" s="7" t="s">
        <v>749</v>
      </c>
      <c r="M68" s="7" t="s">
        <v>717</v>
      </c>
      <c r="N68" s="6" t="s">
        <v>735</v>
      </c>
      <c r="O68" s="7" t="b">
        <v>0</v>
      </c>
      <c r="P68" s="7" t="b">
        <v>0</v>
      </c>
      <c r="Q68" s="7" t="b">
        <v>0</v>
      </c>
      <c r="R68" s="7" t="b">
        <v>0</v>
      </c>
      <c r="S68" s="7" t="b">
        <v>0</v>
      </c>
      <c r="T68" s="7" t="s">
        <v>736</v>
      </c>
      <c r="U68" s="7" t="b">
        <v>0</v>
      </c>
      <c r="V68" s="6" t="s">
        <v>762</v>
      </c>
      <c r="W68" s="6" t="s">
        <v>762</v>
      </c>
      <c r="X68" s="7" t="s">
        <v>748</v>
      </c>
      <c r="Z68" s="6" t="str">
        <f>VLOOKUP(H68,PortConfigOptions!$B$1:$R$89,2,FALSE)</f>
        <v>TRUE, FALSE</v>
      </c>
      <c r="AA68" s="6" t="str">
        <f>VLOOKUP(H68,PortConfigOptions!$B$1:$R$89,3,FALSE)</f>
        <v>TRUE, FALSE</v>
      </c>
      <c r="AB68" s="6" t="str">
        <f>VLOOKUP(H68,PortConfigOptions!$B$1:$R$89,4,FALSE)</f>
        <v>TRUE, FALSE</v>
      </c>
      <c r="AC68" s="6" t="str">
        <f>VLOOKUP(H68,PortConfigOptions!$B$1:$R$89,5,FALSE)</f>
        <v>PORT_PIN_LEVEL_LOW, PORT_PIN_LEVEL_HIGH</v>
      </c>
      <c r="AD68" s="6" t="str">
        <f>VLOOKUP(H68,PortConfigOptions!$B$1:$R$89,6,FALSE)</f>
        <v>RSCAN0TX0_ALT1_OUT, CSIH2DCS_ALT2_IN, CSIH2SO_ALT2_OUT, TAUD2I12_ALT3_IN, TAUD2O12_ALT3_OUT, CSIH3CSS7_ALT4_OUT, TSG30O7_ALT5_OUT, DIO</v>
      </c>
      <c r="AE68" s="6" t="str">
        <f>VLOOKUP(H68,PortConfigOptions!$B$1:$R$89,7,FALSE)</f>
        <v>PORT_PIN_OUT, PORT_PIN_IN</v>
      </c>
      <c r="AF68" s="6" t="str">
        <f>VLOOKUP(H68,PortConfigOptions!$B$1:$R$89,8,FALSE)</f>
        <v>TRUE, FALSE</v>
      </c>
      <c r="AG68" s="6" t="str">
        <f>VLOOKUP(H68,PortConfigOptions!$B$1:$R$89,9,FALSE)</f>
        <v>TRUE, FALSE</v>
      </c>
      <c r="AH68" s="6" t="str">
        <f>VLOOKUP(H68,PortConfigOptions!$B$1:$R$89,10,FALSE)</f>
        <v>TRUE, FALSE</v>
      </c>
      <c r="AI68" s="6" t="str">
        <f>VLOOKUP(H68,PortConfigOptions!$B$1:$R$89,11,FALSE)</f>
        <v>TRUE, FALSE</v>
      </c>
      <c r="AJ68" s="6" t="str">
        <f>VLOOKUP(H68,PortConfigOptions!$B$1:$R$89,12,FALSE)</f>
        <v>TRUE, FALSE</v>
      </c>
      <c r="AK68" s="6" t="str">
        <f>VLOOKUP(H68,PortConfigOptions!$B$1:$R$89,13,FALSE)</f>
        <v>OpenDrain_PushPull, OpenDrain_N_Channel, OpenDrain_P_Channel</v>
      </c>
      <c r="AL68" s="6" t="str">
        <f>VLOOKUP(H68,PortConfigOptions!$B$1:$R$89,14,FALSE)</f>
        <v>TRUE, FALSE</v>
      </c>
      <c r="AM68" s="6" t="str">
        <f>VLOOKUP(H68,PortConfigOptions!$B$1:$R$89,15,FALSE)</f>
        <v>SLOW, FAST, MIDDLE_0, MIDDLE_1</v>
      </c>
      <c r="AN68" s="6" t="str">
        <f>VLOOKUP(H68,PortConfigOptions!$B$1:$R$89,16,FALSE)</f>
        <v>SLOW, FAST, MIDDLE</v>
      </c>
      <c r="AO68" s="6" t="str">
        <f>VLOOKUP(H68,PortConfigOptions!$B$1:$R$89,17,FALSE)</f>
        <v>TYPE_1_SUPP_PISA, TYPE_2_SUPP_PISA</v>
      </c>
      <c r="AS68" s="7" t="s">
        <v>270</v>
      </c>
      <c r="AV68" s="6" t="s">
        <v>12</v>
      </c>
    </row>
    <row r="69" spans="1:48" x14ac:dyDescent="0.25">
      <c r="A69" s="6">
        <v>141</v>
      </c>
      <c r="B69" s="7">
        <v>119</v>
      </c>
      <c r="D69" s="7" t="s">
        <v>6</v>
      </c>
      <c r="E69" s="7" t="s">
        <v>6</v>
      </c>
      <c r="F69" s="7" t="s">
        <v>701</v>
      </c>
      <c r="G69" s="6" t="s">
        <v>292</v>
      </c>
      <c r="H69" s="6" t="s">
        <v>292</v>
      </c>
      <c r="I69" s="6" t="b">
        <v>0</v>
      </c>
      <c r="J69" s="6" t="b">
        <v>0</v>
      </c>
      <c r="K69" s="6" t="b">
        <v>0</v>
      </c>
      <c r="L69" s="7" t="s">
        <v>699</v>
      </c>
      <c r="M69" s="7" t="s">
        <v>701</v>
      </c>
      <c r="N69" s="6" t="s">
        <v>734</v>
      </c>
      <c r="O69" s="6" t="b">
        <v>0</v>
      </c>
      <c r="P69" s="7" t="b">
        <v>0</v>
      </c>
      <c r="Q69" s="19" t="s">
        <v>6</v>
      </c>
      <c r="R69" s="7" t="b">
        <v>0</v>
      </c>
      <c r="S69" s="7" t="b">
        <v>0</v>
      </c>
      <c r="T69" s="7" t="s">
        <v>737</v>
      </c>
      <c r="U69" s="7" t="b">
        <v>0</v>
      </c>
      <c r="V69" s="6" t="s">
        <v>762</v>
      </c>
      <c r="W69" s="6" t="s">
        <v>762</v>
      </c>
      <c r="X69" s="19" t="s">
        <v>6</v>
      </c>
      <c r="Z69" s="6" t="str">
        <f>VLOOKUP(H69,PortConfigOptions!$B$1:$R$89,2,FALSE)</f>
        <v>TRUE, FALSE</v>
      </c>
      <c r="AA69" s="6" t="str">
        <f>VLOOKUP(H69,PortConfigOptions!$B$1:$R$89,3,FALSE)</f>
        <v>TRUE, FALSE</v>
      </c>
      <c r="AB69" s="6" t="str">
        <f>VLOOKUP(H69,PortConfigOptions!$B$1:$R$89,4,FALSE)</f>
        <v>TRUE, FALSE</v>
      </c>
      <c r="AC69" s="6" t="str">
        <f>VLOOKUP(H69,PortConfigOptions!$B$1:$R$89,5,FALSE)</f>
        <v>PORT_PIN_LEVEL_LOW, PORT_PIN_LEVEL_HIGH</v>
      </c>
      <c r="AD69" s="6" t="str">
        <f>VLOOKUP(H69,PortConfigOptions!$B$1:$R$89,6,FALSE)</f>
        <v>TAUD2I10_ALT3_IN, TAUD2O10_ALT3_OUT, CSIH0RYI_ALT5_IN, CSIH0CSS6_ALT5_OUT, OSTM1ODI_ALT6_IN, OSTM1O_ALT6_OUT, DIO</v>
      </c>
      <c r="AE69" s="6" t="str">
        <f>VLOOKUP(H69,PortConfigOptions!$B$1:$R$89,7,FALSE)</f>
        <v>PORT_PIN_OUT, PORT_PIN_IN</v>
      </c>
      <c r="AF69" s="6" t="str">
        <f>VLOOKUP(H69,PortConfigOptions!$B$1:$R$89,8,FALSE)</f>
        <v>TRUE, FALSE</v>
      </c>
      <c r="AG69" s="6" t="str">
        <f>VLOOKUP(H69,PortConfigOptions!$B$1:$R$89,9,FALSE)</f>
        <v>TRUE, FALSE</v>
      </c>
      <c r="AH69" s="6">
        <f>VLOOKUP(H69,PortConfigOptions!$B$1:$R$89,10,FALSE)</f>
        <v>0</v>
      </c>
      <c r="AI69" s="6" t="str">
        <f>VLOOKUP(H69,PortConfigOptions!$B$1:$R$89,11,FALSE)</f>
        <v>TRUE, FALSE</v>
      </c>
      <c r="AJ69" s="6" t="str">
        <f>VLOOKUP(H69,PortConfigOptions!$B$1:$R$89,12,FALSE)</f>
        <v>TRUE, FALSE</v>
      </c>
      <c r="AK69" s="6" t="str">
        <f>VLOOKUP(H69,PortConfigOptions!$B$1:$R$89,13,FALSE)</f>
        <v>OpenDrain_PushPull, OpenDrain_N_Channel, OpenDrain_P_Channel</v>
      </c>
      <c r="AL69" s="6" t="str">
        <f>VLOOKUP(H69,PortConfigOptions!$B$1:$R$89,14,FALSE)</f>
        <v>TRUE, FALSE</v>
      </c>
      <c r="AM69" s="6" t="str">
        <f>VLOOKUP(H69,PortConfigOptions!$B$1:$R$89,15,FALSE)</f>
        <v>SLOW, FAST, MIDDLE_0, MIDDLE_1</v>
      </c>
      <c r="AN69" s="6" t="str">
        <f>VLOOKUP(H69,PortConfigOptions!$B$1:$R$89,16,FALSE)</f>
        <v>SLOW, FAST, MIDDLE</v>
      </c>
      <c r="AO69" s="6">
        <f>VLOOKUP(H69,PortConfigOptions!$B$1:$R$89,17,FALSE)</f>
        <v>0</v>
      </c>
      <c r="AS69" s="7" t="s">
        <v>270</v>
      </c>
      <c r="AT69" s="7" t="s">
        <v>296</v>
      </c>
      <c r="AU69" s="6" t="s">
        <v>271</v>
      </c>
      <c r="AV69" s="6" t="s">
        <v>236</v>
      </c>
    </row>
    <row r="70" spans="1:48" x14ac:dyDescent="0.25">
      <c r="A70" s="6">
        <v>142</v>
      </c>
      <c r="B70" s="7">
        <v>120</v>
      </c>
      <c r="D70" s="7" t="s">
        <v>6</v>
      </c>
      <c r="E70" s="7" t="s">
        <v>6</v>
      </c>
      <c r="F70" s="7" t="s">
        <v>701</v>
      </c>
      <c r="G70" s="6" t="s">
        <v>293</v>
      </c>
      <c r="H70" s="6" t="s">
        <v>293</v>
      </c>
      <c r="I70" s="6" t="b">
        <v>0</v>
      </c>
      <c r="J70" s="6" t="b">
        <v>0</v>
      </c>
      <c r="K70" s="6" t="b">
        <v>0</v>
      </c>
      <c r="L70" s="7" t="s">
        <v>699</v>
      </c>
      <c r="M70" s="7" t="s">
        <v>701</v>
      </c>
      <c r="N70" s="6" t="s">
        <v>734</v>
      </c>
      <c r="O70" s="6" t="b">
        <v>0</v>
      </c>
      <c r="P70" s="7" t="b">
        <v>0</v>
      </c>
      <c r="Q70" s="19" t="s">
        <v>6</v>
      </c>
      <c r="R70" s="7" t="b">
        <v>0</v>
      </c>
      <c r="S70" s="7" t="b">
        <v>0</v>
      </c>
      <c r="T70" s="7" t="s">
        <v>737</v>
      </c>
      <c r="U70" s="7" t="b">
        <v>0</v>
      </c>
      <c r="V70" s="6" t="s">
        <v>762</v>
      </c>
      <c r="W70" s="6" t="s">
        <v>762</v>
      </c>
      <c r="X70" s="19" t="s">
        <v>6</v>
      </c>
      <c r="Z70" s="6" t="str">
        <f>VLOOKUP(H70,PortConfigOptions!$B$1:$R$89,2,FALSE)</f>
        <v>TRUE, FALSE</v>
      </c>
      <c r="AA70" s="6" t="str">
        <f>VLOOKUP(H70,PortConfigOptions!$B$1:$R$89,3,FALSE)</f>
        <v>TRUE, FALSE</v>
      </c>
      <c r="AB70" s="6" t="str">
        <f>VLOOKUP(H70,PortConfigOptions!$B$1:$R$89,4,FALSE)</f>
        <v>TRUE, FALSE</v>
      </c>
      <c r="AC70" s="6" t="str">
        <f>VLOOKUP(H70,PortConfigOptions!$B$1:$R$89,5,FALSE)</f>
        <v>PORT_PIN_LEVEL_LOW, PORT_PIN_LEVEL_HIGH</v>
      </c>
      <c r="AD70" s="6" t="str">
        <f>VLOOKUP(H70,PortConfigOptions!$B$1:$R$89,6,FALSE)</f>
        <v>TAUD1I0_ALT1_IN, TAUD1ODI0_ALT2_IN, TAUD1O0_ALT2_OUT, TAUD1I1_ALT3_IN, TAUD1ODI1_ALT4_IN, TAUD1O1_ALT4_OUT, CSIH0CSS5_ALT5_OUT, CSIH1RYI_ALT6_IN, CSIH0RYO_ALT6_OUT, DIO</v>
      </c>
      <c r="AE70" s="6" t="str">
        <f>VLOOKUP(H70,PortConfigOptions!$B$1:$R$89,7,FALSE)</f>
        <v>PORT_PIN_OUT, PORT_PIN_IN</v>
      </c>
      <c r="AF70" s="6" t="str">
        <f>VLOOKUP(H70,PortConfigOptions!$B$1:$R$89,8,FALSE)</f>
        <v>TRUE, FALSE</v>
      </c>
      <c r="AG70" s="6" t="str">
        <f>VLOOKUP(H70,PortConfigOptions!$B$1:$R$89,9,FALSE)</f>
        <v>TRUE, FALSE</v>
      </c>
      <c r="AH70" s="6">
        <f>VLOOKUP(H70,PortConfigOptions!$B$1:$R$89,10,FALSE)</f>
        <v>0</v>
      </c>
      <c r="AI70" s="6" t="str">
        <f>VLOOKUP(H70,PortConfigOptions!$B$1:$R$89,11,FALSE)</f>
        <v>TRUE, FALSE</v>
      </c>
      <c r="AJ70" s="6" t="str">
        <f>VLOOKUP(H70,PortConfigOptions!$B$1:$R$89,12,FALSE)</f>
        <v>TRUE, FALSE</v>
      </c>
      <c r="AK70" s="6" t="str">
        <f>VLOOKUP(H70,PortConfigOptions!$B$1:$R$89,13,FALSE)</f>
        <v>OpenDrain_PushPull, OpenDrain_N_Channel, OpenDrain_P_Channel</v>
      </c>
      <c r="AL70" s="6" t="str">
        <f>VLOOKUP(H70,PortConfigOptions!$B$1:$R$89,14,FALSE)</f>
        <v>TRUE, FALSE</v>
      </c>
      <c r="AM70" s="6" t="str">
        <f>VLOOKUP(H70,PortConfigOptions!$B$1:$R$89,15,FALSE)</f>
        <v>SLOW, FAST, MIDDLE_0, MIDDLE_1</v>
      </c>
      <c r="AN70" s="6" t="str">
        <f>VLOOKUP(H70,PortConfigOptions!$B$1:$R$89,16,FALSE)</f>
        <v>SLOW, FAST, MIDDLE</v>
      </c>
      <c r="AO70" s="6">
        <f>VLOOKUP(H70,PortConfigOptions!$B$1:$R$89,17,FALSE)</f>
        <v>0</v>
      </c>
      <c r="AS70" s="7" t="s">
        <v>270</v>
      </c>
      <c r="AT70" s="7" t="s">
        <v>296</v>
      </c>
      <c r="AU70" s="6" t="s">
        <v>271</v>
      </c>
      <c r="AV70" s="6" t="s">
        <v>237</v>
      </c>
    </row>
    <row r="71" spans="1:48" x14ac:dyDescent="0.25">
      <c r="A71" s="6">
        <v>143</v>
      </c>
      <c r="B71" s="7">
        <v>121</v>
      </c>
      <c r="D71" s="7" t="s">
        <v>6</v>
      </c>
      <c r="E71" s="7" t="s">
        <v>6</v>
      </c>
      <c r="F71" s="7" t="s">
        <v>701</v>
      </c>
      <c r="G71" s="6" t="s">
        <v>294</v>
      </c>
      <c r="H71" s="6" t="s">
        <v>294</v>
      </c>
      <c r="I71" s="6" t="b">
        <v>0</v>
      </c>
      <c r="J71" s="6" t="b">
        <v>0</v>
      </c>
      <c r="K71" s="6" t="b">
        <v>0</v>
      </c>
      <c r="L71" s="7" t="s">
        <v>699</v>
      </c>
      <c r="M71" s="7" t="s">
        <v>701</v>
      </c>
      <c r="N71" s="6" t="s">
        <v>734</v>
      </c>
      <c r="O71" s="6" t="b">
        <v>0</v>
      </c>
      <c r="P71" s="7" t="b">
        <v>0</v>
      </c>
      <c r="Q71" s="7" t="b">
        <v>0</v>
      </c>
      <c r="R71" s="7" t="b">
        <v>0</v>
      </c>
      <c r="S71" s="7" t="b">
        <v>0</v>
      </c>
      <c r="T71" s="7" t="s">
        <v>737</v>
      </c>
      <c r="U71" s="7" t="b">
        <v>0</v>
      </c>
      <c r="V71" s="6" t="s">
        <v>762</v>
      </c>
      <c r="W71" s="6" t="s">
        <v>762</v>
      </c>
      <c r="X71" s="7" t="s">
        <v>748</v>
      </c>
      <c r="Z71" s="6" t="str">
        <f>VLOOKUP(H71,PortConfigOptions!$B$1:$R$89,2,FALSE)</f>
        <v>TRUE, FALSE</v>
      </c>
      <c r="AA71" s="6" t="str">
        <f>VLOOKUP(H71,PortConfigOptions!$B$1:$R$89,3,FALSE)</f>
        <v>TRUE, FALSE</v>
      </c>
      <c r="AB71" s="6" t="str">
        <f>VLOOKUP(H71,PortConfigOptions!$B$1:$R$89,4,FALSE)</f>
        <v>TRUE, FALSE</v>
      </c>
      <c r="AC71" s="6" t="str">
        <f>VLOOKUP(H71,PortConfigOptions!$B$1:$R$89,5,FALSE)</f>
        <v>PORT_PIN_LEVEL_LOW, PORT_PIN_LEVEL_HIGH</v>
      </c>
      <c r="AD71" s="6" t="str">
        <f>VLOOKUP(H71,PortConfigOptions!$B$1:$R$89,6,FALSE)</f>
        <v>TAUD1I2_ALT1_IN, TAUD1ODI2_ALT2_IN, TAUD1O2_ALT2_OUT, TAUD1I3_ALT3_IN, TAUD1ODI3_ALT4_IN, TAUD1O3_ALT4_OUT, CSIH0CSS4_ALT5_OUT, CCSIH0DCS_ALT6_IN, CSIH0SO_ALT6_OUT, DIO</v>
      </c>
      <c r="AE71" s="6" t="str">
        <f>VLOOKUP(H71,PortConfigOptions!$B$1:$R$89,7,FALSE)</f>
        <v>PORT_PIN_OUT, PORT_PIN_IN</v>
      </c>
      <c r="AF71" s="6" t="str">
        <f>VLOOKUP(H71,PortConfigOptions!$B$1:$R$89,8,FALSE)</f>
        <v>TRUE, FALSE</v>
      </c>
      <c r="AG71" s="6" t="str">
        <f>VLOOKUP(H71,PortConfigOptions!$B$1:$R$89,9,FALSE)</f>
        <v>TRUE, FALSE</v>
      </c>
      <c r="AH71" s="6" t="str">
        <f>VLOOKUP(H71,PortConfigOptions!$B$1:$R$89,10,FALSE)</f>
        <v>TRUE, FALSE</v>
      </c>
      <c r="AI71" s="6" t="str">
        <f>VLOOKUP(H71,PortConfigOptions!$B$1:$R$89,11,FALSE)</f>
        <v>TRUE, FALSE</v>
      </c>
      <c r="AJ71" s="6" t="str">
        <f>VLOOKUP(H71,PortConfigOptions!$B$1:$R$89,12,FALSE)</f>
        <v>TRUE, FALSE</v>
      </c>
      <c r="AK71" s="6" t="str">
        <f>VLOOKUP(H71,PortConfigOptions!$B$1:$R$89,13,FALSE)</f>
        <v>OpenDrain_PushPull, OpenDrain_N_Channel, OpenDrain_P_Channel</v>
      </c>
      <c r="AL71" s="6" t="str">
        <f>VLOOKUP(H71,PortConfigOptions!$B$1:$R$89,14,FALSE)</f>
        <v>TRUE, FALSE</v>
      </c>
      <c r="AM71" s="6" t="str">
        <f>VLOOKUP(H71,PortConfigOptions!$B$1:$R$89,15,FALSE)</f>
        <v>SLOW, FAST, MIDDLE_0, MIDDLE_1</v>
      </c>
      <c r="AN71" s="6" t="str">
        <f>VLOOKUP(H71,PortConfigOptions!$B$1:$R$89,16,FALSE)</f>
        <v>SLOW, FAST, MIDDLE</v>
      </c>
      <c r="AO71" s="6" t="str">
        <f>VLOOKUP(H71,PortConfigOptions!$B$1:$R$89,17,FALSE)</f>
        <v>TYPE_1_SUPP_PISA, TYPE_2_SUPP_PISA</v>
      </c>
      <c r="AS71" s="7" t="s">
        <v>270</v>
      </c>
      <c r="AT71" s="7" t="s">
        <v>296</v>
      </c>
      <c r="AU71" s="6" t="s">
        <v>271</v>
      </c>
      <c r="AV71" s="6" t="s">
        <v>238</v>
      </c>
    </row>
    <row r="72" spans="1:48" x14ac:dyDescent="0.25">
      <c r="A72" s="6">
        <v>144</v>
      </c>
      <c r="B72" s="7">
        <v>122</v>
      </c>
      <c r="D72" s="7" t="s">
        <v>6</v>
      </c>
      <c r="E72" s="7" t="s">
        <v>6</v>
      </c>
      <c r="F72" s="7" t="s">
        <v>701</v>
      </c>
      <c r="G72" s="6" t="s">
        <v>295</v>
      </c>
      <c r="H72" s="6" t="s">
        <v>295</v>
      </c>
      <c r="I72" s="6" t="b">
        <v>0</v>
      </c>
      <c r="J72" s="6" t="b">
        <v>0</v>
      </c>
      <c r="K72" s="6" t="b">
        <v>0</v>
      </c>
      <c r="L72" s="7" t="s">
        <v>699</v>
      </c>
      <c r="M72" s="7" t="s">
        <v>701</v>
      </c>
      <c r="N72" s="6" t="s">
        <v>734</v>
      </c>
      <c r="O72" s="6" t="b">
        <v>0</v>
      </c>
      <c r="P72" s="7" t="b">
        <v>0</v>
      </c>
      <c r="Q72" s="19" t="s">
        <v>6</v>
      </c>
      <c r="R72" s="7" t="b">
        <v>0</v>
      </c>
      <c r="S72" s="7" t="b">
        <v>0</v>
      </c>
      <c r="T72" s="7" t="s">
        <v>737</v>
      </c>
      <c r="U72" s="7" t="b">
        <v>0</v>
      </c>
      <c r="V72" s="6" t="s">
        <v>762</v>
      </c>
      <c r="W72" s="6" t="s">
        <v>762</v>
      </c>
      <c r="X72" s="19" t="s">
        <v>6</v>
      </c>
      <c r="Z72" s="6" t="str">
        <f>VLOOKUP(H72,PortConfigOptions!$B$1:$R$89,2,FALSE)</f>
        <v>TRUE, FALSE</v>
      </c>
      <c r="AA72" s="6" t="str">
        <f>VLOOKUP(H72,PortConfigOptions!$B$1:$R$89,3,FALSE)</f>
        <v>TRUE, FALSE</v>
      </c>
      <c r="AB72" s="6" t="str">
        <f>VLOOKUP(H72,PortConfigOptions!$B$1:$R$89,4,FALSE)</f>
        <v>TRUE, FALSE</v>
      </c>
      <c r="AC72" s="6" t="str">
        <f>VLOOKUP(H72,PortConfigOptions!$B$1:$R$89,5,FALSE)</f>
        <v>PORT_PIN_LEVEL_LOW, PORT_PIN_LEVEL_HIGH</v>
      </c>
      <c r="AD72" s="6" t="str">
        <f>VLOOKUP(H72,PortConfigOptions!$B$1:$R$89,6,FALSE)</f>
        <v>TAUD1I4_ALT1_IN, TAUD1ODI4_ALT2_IN, TAUD1O4_ALT2_OUT, TAUD1I5_ALT3_IN, TAUD1ODI5_ALT4_IN, TAUD1O5_ALT4_OUT, CSIH0CSS3_ALT5_OUT, CSIH1RYO_ALT6_OUT, DIO</v>
      </c>
      <c r="AE72" s="6" t="str">
        <f>VLOOKUP(H72,PortConfigOptions!$B$1:$R$89,7,FALSE)</f>
        <v>PORT_PIN_OUT, PORT_PIN_IN</v>
      </c>
      <c r="AF72" s="6" t="str">
        <f>VLOOKUP(H72,PortConfigOptions!$B$1:$R$89,8,FALSE)</f>
        <v>TRUE, FALSE</v>
      </c>
      <c r="AG72" s="6" t="str">
        <f>VLOOKUP(H72,PortConfigOptions!$B$1:$R$89,9,FALSE)</f>
        <v>TRUE, FALSE</v>
      </c>
      <c r="AH72" s="6">
        <f>VLOOKUP(H72,PortConfigOptions!$B$1:$R$89,10,FALSE)</f>
        <v>0</v>
      </c>
      <c r="AI72" s="6" t="str">
        <f>VLOOKUP(H72,PortConfigOptions!$B$1:$R$89,11,FALSE)</f>
        <v>TRUE, FALSE</v>
      </c>
      <c r="AJ72" s="6" t="str">
        <f>VLOOKUP(H72,PortConfigOptions!$B$1:$R$89,12,FALSE)</f>
        <v>TRUE, FALSE</v>
      </c>
      <c r="AK72" s="6" t="str">
        <f>VLOOKUP(H72,PortConfigOptions!$B$1:$R$89,13,FALSE)</f>
        <v>OpenDrain_PushPull, OpenDrain_N_Channel, OpenDrain_P_Channel</v>
      </c>
      <c r="AL72" s="6" t="str">
        <f>VLOOKUP(H72,PortConfigOptions!$B$1:$R$89,14,FALSE)</f>
        <v>TRUE, FALSE</v>
      </c>
      <c r="AM72" s="6" t="str">
        <f>VLOOKUP(H72,PortConfigOptions!$B$1:$R$89,15,FALSE)</f>
        <v>SLOW, FAST, MIDDLE_0, MIDDLE_1</v>
      </c>
      <c r="AN72" s="6" t="str">
        <f>VLOOKUP(H72,PortConfigOptions!$B$1:$R$89,16,FALSE)</f>
        <v>SLOW, FAST, MIDDLE</v>
      </c>
      <c r="AO72" s="6">
        <f>VLOOKUP(H72,PortConfigOptions!$B$1:$R$89,17,FALSE)</f>
        <v>0</v>
      </c>
      <c r="AS72" s="7" t="s">
        <v>270</v>
      </c>
      <c r="AT72" s="7" t="s">
        <v>296</v>
      </c>
      <c r="AU72" s="6" t="s">
        <v>271</v>
      </c>
      <c r="AV72" s="6" t="s">
        <v>239</v>
      </c>
    </row>
    <row r="73" spans="1:48" x14ac:dyDescent="0.25">
      <c r="A73" s="6">
        <v>54</v>
      </c>
      <c r="B73" s="7">
        <v>123</v>
      </c>
      <c r="D73" s="7" t="s">
        <v>104</v>
      </c>
      <c r="E73" s="7" t="s">
        <v>478</v>
      </c>
      <c r="F73" s="7" t="s">
        <v>242</v>
      </c>
      <c r="G73" s="7" t="s">
        <v>105</v>
      </c>
      <c r="H73" s="6" t="s">
        <v>317</v>
      </c>
      <c r="I73" s="6" t="b">
        <v>0</v>
      </c>
      <c r="J73" s="6" t="b">
        <v>0</v>
      </c>
      <c r="K73" s="6" t="b">
        <v>0</v>
      </c>
      <c r="L73" s="7" t="s">
        <v>699</v>
      </c>
      <c r="M73" s="7" t="s">
        <v>723</v>
      </c>
      <c r="N73" s="6" t="s">
        <v>735</v>
      </c>
      <c r="O73" s="7" t="b">
        <v>0</v>
      </c>
      <c r="P73" s="7" t="b">
        <v>0</v>
      </c>
      <c r="Q73" s="19" t="s">
        <v>6</v>
      </c>
      <c r="R73" s="7" t="b">
        <v>0</v>
      </c>
      <c r="S73" s="7" t="b">
        <v>0</v>
      </c>
      <c r="T73" s="7" t="s">
        <v>736</v>
      </c>
      <c r="U73" s="7" t="b">
        <v>0</v>
      </c>
      <c r="V73" s="6" t="s">
        <v>762</v>
      </c>
      <c r="W73" s="6" t="s">
        <v>762</v>
      </c>
      <c r="X73" s="19" t="s">
        <v>6</v>
      </c>
      <c r="Z73" s="6" t="str">
        <f>VLOOKUP(H73,PortConfigOptions!$B$1:$R$89,2,FALSE)</f>
        <v>TRUE, FALSE</v>
      </c>
      <c r="AA73" s="6" t="str">
        <f>VLOOKUP(H73,PortConfigOptions!$B$1:$R$89,3,FALSE)</f>
        <v>TRUE, FALSE</v>
      </c>
      <c r="AB73" s="6" t="str">
        <f>VLOOKUP(H73,PortConfigOptions!$B$1:$R$89,4,FALSE)</f>
        <v>TRUE, FALSE</v>
      </c>
      <c r="AC73" s="6" t="str">
        <f>VLOOKUP(H73,PortConfigOptions!$B$1:$R$89,5,FALSE)</f>
        <v>PORT_PIN_LEVEL_LOW, PORT_PIN_LEVEL_HIGH</v>
      </c>
      <c r="AD73" s="6" t="str">
        <f>VLOOKUP(H73,PortConfigOptions!$B$1:$R$89,6,FALSE)</f>
        <v>TAUD1I6_ALT1_IN, TAUD1ODI6_ALT2_IN, TAUD1O6_ALT2_OUT, TAUD1I7_ALT3_IN, TAUD1ODI7_ALT4_IN, TAUD1O7_ALT4_OUT, CSIH0CSS2_ALT5_OUT, DIO</v>
      </c>
      <c r="AE73" s="6" t="str">
        <f>VLOOKUP(H73,PortConfigOptions!$B$1:$R$89,7,FALSE)</f>
        <v>PORT_PIN_OUT, PORT_PIN_IN</v>
      </c>
      <c r="AF73" s="6" t="str">
        <f>VLOOKUP(H73,PortConfigOptions!$B$1:$R$89,8,FALSE)</f>
        <v>TRUE, FALSE</v>
      </c>
      <c r="AG73" s="6" t="str">
        <f>VLOOKUP(H73,PortConfigOptions!$B$1:$R$89,9,FALSE)</f>
        <v>TRUE, FALSE</v>
      </c>
      <c r="AH73" s="6">
        <f>VLOOKUP(H73,PortConfigOptions!$B$1:$R$89,10,FALSE)</f>
        <v>0</v>
      </c>
      <c r="AI73" s="6" t="str">
        <f>VLOOKUP(H73,PortConfigOptions!$B$1:$R$89,11,FALSE)</f>
        <v>TRUE, FALSE</v>
      </c>
      <c r="AJ73" s="6" t="str">
        <f>VLOOKUP(H73,PortConfigOptions!$B$1:$R$89,12,FALSE)</f>
        <v>TRUE, FALSE</v>
      </c>
      <c r="AK73" s="6" t="str">
        <f>VLOOKUP(H73,PortConfigOptions!$B$1:$R$89,13,FALSE)</f>
        <v>OpenDrain_PushPull, OpenDrain_N_Channel, OpenDrain_P_Channel</v>
      </c>
      <c r="AL73" s="6" t="str">
        <f>VLOOKUP(H73,PortConfigOptions!$B$1:$R$89,14,FALSE)</f>
        <v>TRUE, FALSE</v>
      </c>
      <c r="AM73" s="6" t="str">
        <f>VLOOKUP(H73,PortConfigOptions!$B$1:$R$89,15,FALSE)</f>
        <v>SLOW, FAST, MIDDLE_0, MIDDLE_1</v>
      </c>
      <c r="AN73" s="6" t="str">
        <f>VLOOKUP(H73,PortConfigOptions!$B$1:$R$89,16,FALSE)</f>
        <v>SLOW, FAST, MIDDLE</v>
      </c>
      <c r="AO73" s="6">
        <f>VLOOKUP(H73,PortConfigOptions!$B$1:$R$89,17,FALSE)</f>
        <v>0</v>
      </c>
      <c r="AV73" s="6" t="s">
        <v>106</v>
      </c>
    </row>
    <row r="74" spans="1:48" x14ac:dyDescent="0.25">
      <c r="A74" s="6">
        <v>57</v>
      </c>
      <c r="B74" s="7">
        <v>126</v>
      </c>
      <c r="C74" s="7" t="s">
        <v>387</v>
      </c>
      <c r="D74" s="7" t="s">
        <v>111</v>
      </c>
      <c r="E74" s="7" t="s">
        <v>386</v>
      </c>
      <c r="F74" s="7" t="s">
        <v>701</v>
      </c>
      <c r="G74" s="7" t="s">
        <v>112</v>
      </c>
      <c r="H74" s="6" t="s">
        <v>112</v>
      </c>
      <c r="I74" s="6" t="b">
        <v>0</v>
      </c>
      <c r="J74" s="6" t="b">
        <v>0</v>
      </c>
      <c r="K74" s="6" t="b">
        <v>0</v>
      </c>
      <c r="L74" s="7" t="s">
        <v>699</v>
      </c>
      <c r="M74" s="7" t="s">
        <v>701</v>
      </c>
      <c r="N74" s="6" t="s">
        <v>735</v>
      </c>
      <c r="O74" s="7" t="b">
        <v>0</v>
      </c>
      <c r="P74" s="7" t="b">
        <v>0</v>
      </c>
      <c r="Q74" s="19" t="s">
        <v>6</v>
      </c>
      <c r="R74" s="19" t="s">
        <v>6</v>
      </c>
      <c r="S74" s="7" t="b">
        <v>0</v>
      </c>
      <c r="T74" s="7" t="s">
        <v>736</v>
      </c>
      <c r="U74" s="7" t="b">
        <v>0</v>
      </c>
      <c r="V74" s="6" t="s">
        <v>762</v>
      </c>
      <c r="W74" s="6" t="s">
        <v>762</v>
      </c>
      <c r="X74" s="19" t="s">
        <v>6</v>
      </c>
      <c r="Z74" s="6" t="str">
        <f>VLOOKUP(H74,PortConfigOptions!$B$1:$R$89,2,FALSE)</f>
        <v>TRUE, FALSE</v>
      </c>
      <c r="AA74" s="6" t="str">
        <f>VLOOKUP(H74,PortConfigOptions!$B$1:$R$89,3,FALSE)</f>
        <v>TRUE, FALSE</v>
      </c>
      <c r="AB74" s="6" t="str">
        <f>VLOOKUP(H74,PortConfigOptions!$B$1:$R$89,4,FALSE)</f>
        <v>TRUE, FALSE</v>
      </c>
      <c r="AC74" s="6" t="str">
        <f>VLOOKUP(H74,PortConfigOptions!$B$1:$R$89,5,FALSE)</f>
        <v>PORT_PIN_LEVEL_LOW, PORT_PIN_LEVEL_HIGH</v>
      </c>
      <c r="AD74" s="6" t="str">
        <f>VLOOKUP(H74,PortConfigOptions!$B$1:$R$89,6,FALSE)</f>
        <v>TAUD1I8_ALT1_IN, TAUD1ODI8_ALT2_IN, TAUD1O8_ALT2_OUT, TAUD1I9_ALT3_IN, TAUD1ODI9_ALT4_IN, TAUD1O9_ALT4_OUT, CSIH0RYI_ALT5_IN, DIO</v>
      </c>
      <c r="AE74" s="6" t="str">
        <f>VLOOKUP(H74,PortConfigOptions!$B$1:$R$89,7,FALSE)</f>
        <v>PORT_PIN_OUT, PORT_PIN_IN</v>
      </c>
      <c r="AF74" s="6" t="str">
        <f>VLOOKUP(H74,PortConfigOptions!$B$1:$R$89,8,FALSE)</f>
        <v>TRUE, FALSE</v>
      </c>
      <c r="AG74" s="6" t="str">
        <f>VLOOKUP(H74,PortConfigOptions!$B$1:$R$89,9,FALSE)</f>
        <v>TRUE, FALSE</v>
      </c>
      <c r="AH74" s="6">
        <f>VLOOKUP(H74,PortConfigOptions!$B$1:$R$89,10,FALSE)</f>
        <v>0</v>
      </c>
      <c r="AI74" s="6">
        <f>VLOOKUP(H74,PortConfigOptions!$B$1:$R$89,11,FALSE)</f>
        <v>0</v>
      </c>
      <c r="AJ74" s="6" t="str">
        <f>VLOOKUP(H74,PortConfigOptions!$B$1:$R$89,12,FALSE)</f>
        <v>TRUE, FALSE</v>
      </c>
      <c r="AK74" s="6" t="str">
        <f>VLOOKUP(H74,PortConfigOptions!$B$1:$R$89,13,FALSE)</f>
        <v>OpenDrain_PushPull, OpenDrain_N_Channel, OpenDrain_P_Channel</v>
      </c>
      <c r="AL74" s="6" t="str">
        <f>VLOOKUP(H74,PortConfigOptions!$B$1:$R$89,14,FALSE)</f>
        <v>TRUE, FALSE</v>
      </c>
      <c r="AM74" s="6" t="str">
        <f>VLOOKUP(H74,PortConfigOptions!$B$1:$R$89,15,FALSE)</f>
        <v>SLOW, FAST, MIDDLE_0, MIDDLE_1</v>
      </c>
      <c r="AN74" s="6" t="str">
        <f>VLOOKUP(H74,PortConfigOptions!$B$1:$R$89,16,FALSE)</f>
        <v>SLOW, FAST, MIDDLE</v>
      </c>
      <c r="AO74" s="6">
        <f>VLOOKUP(H74,PortConfigOptions!$B$1:$R$89,17,FALSE)</f>
        <v>0</v>
      </c>
      <c r="AV74" s="6" t="s">
        <v>113</v>
      </c>
    </row>
    <row r="75" spans="1:48" x14ac:dyDescent="0.25">
      <c r="A75" s="6">
        <v>56</v>
      </c>
      <c r="B75" s="7">
        <v>111</v>
      </c>
      <c r="D75" s="7" t="s">
        <v>503</v>
      </c>
      <c r="E75" s="11" t="s">
        <v>764</v>
      </c>
      <c r="F75" s="7" t="s">
        <v>701</v>
      </c>
      <c r="G75" s="6" t="s">
        <v>318</v>
      </c>
      <c r="H75" s="6" t="s">
        <v>318</v>
      </c>
      <c r="I75" s="6" t="b">
        <v>0</v>
      </c>
      <c r="J75" s="6" t="b">
        <v>0</v>
      </c>
      <c r="K75" s="6" t="b">
        <v>0</v>
      </c>
      <c r="L75" s="7" t="s">
        <v>699</v>
      </c>
      <c r="M75" s="7" t="s">
        <v>701</v>
      </c>
      <c r="N75" s="6" t="s">
        <v>734</v>
      </c>
      <c r="O75" s="7" t="b">
        <v>1</v>
      </c>
      <c r="P75" s="7" t="b">
        <v>0</v>
      </c>
      <c r="Q75" s="7" t="b">
        <v>0</v>
      </c>
      <c r="R75" s="7" t="b">
        <v>0</v>
      </c>
      <c r="S75" s="7" t="b">
        <v>0</v>
      </c>
      <c r="T75" s="7" t="s">
        <v>737</v>
      </c>
      <c r="U75" s="7" t="b">
        <v>0</v>
      </c>
      <c r="V75" s="6" t="s">
        <v>762</v>
      </c>
      <c r="W75" s="6" t="s">
        <v>762</v>
      </c>
      <c r="X75" s="7" t="s">
        <v>748</v>
      </c>
      <c r="Z75" s="6" t="str">
        <f>VLOOKUP(H75,PortConfigOptions!$B$1:$R$89,2,FALSE)</f>
        <v>TRUE, FALSE</v>
      </c>
      <c r="AA75" s="6" t="str">
        <f>VLOOKUP(H75,PortConfigOptions!$B$1:$R$89,3,FALSE)</f>
        <v>TRUE, FALSE</v>
      </c>
      <c r="AB75" s="6" t="str">
        <f>VLOOKUP(H75,PortConfigOptions!$B$1:$R$89,4,FALSE)</f>
        <v>TRUE, FALSE</v>
      </c>
      <c r="AC75" s="6" t="str">
        <f>VLOOKUP(H75,PortConfigOptions!$B$1:$R$89,5,FALSE)</f>
        <v>PORT_PIN_LEVEL_LOW, PORT_PIN_LEVEL_HIGH</v>
      </c>
      <c r="AD75" s="6" t="str">
        <f>VLOOKUP(H75,PortConfigOptions!$B$1:$R$89,6,FALSE)</f>
        <v>RSCAN0RX1_ALT1_IN, INTP6_ALT1_IN, CSIH2SCI_ALT2_IN, CSIH2SCO_ALT2_OUT, TAUD2I13_ALT3_IN, TAUD2O13_ALT3_OUT, TPB0O_ALT4_OUT, TSG30O0_ALT5_OUT, CSIH0CSS5_ALT6_OUT, DIO</v>
      </c>
      <c r="AE75" s="6" t="str">
        <f>VLOOKUP(H75,PortConfigOptions!$B$1:$R$89,7,FALSE)</f>
        <v>PORT_PIN_OUT, PORT_PIN_IN</v>
      </c>
      <c r="AF75" s="6" t="str">
        <f>VLOOKUP(H75,PortConfigOptions!$B$1:$R$89,8,FALSE)</f>
        <v>TRUE, FALSE</v>
      </c>
      <c r="AG75" s="6" t="str">
        <f>VLOOKUP(H75,PortConfigOptions!$B$1:$R$89,9,FALSE)</f>
        <v>TRUE, FALSE</v>
      </c>
      <c r="AH75" s="6" t="str">
        <f>VLOOKUP(H75,PortConfigOptions!$B$1:$R$89,10,FALSE)</f>
        <v>TRUE, FALSE</v>
      </c>
      <c r="AI75" s="6" t="str">
        <f>VLOOKUP(H75,PortConfigOptions!$B$1:$R$89,11,FALSE)</f>
        <v>TRUE, FALSE</v>
      </c>
      <c r="AJ75" s="6" t="str">
        <f>VLOOKUP(H75,PortConfigOptions!$B$1:$R$89,12,FALSE)</f>
        <v>TRUE, FALSE</v>
      </c>
      <c r="AK75" s="6" t="str">
        <f>VLOOKUP(H75,PortConfigOptions!$B$1:$R$89,13,FALSE)</f>
        <v>OpenDrain_PushPull, OpenDrain_N_Channel, OpenDrain_P_Channel</v>
      </c>
      <c r="AL75" s="6" t="str">
        <f>VLOOKUP(H75,PortConfigOptions!$B$1:$R$89,14,FALSE)</f>
        <v>TRUE, FALSE</v>
      </c>
      <c r="AM75" s="6" t="str">
        <f>VLOOKUP(H75,PortConfigOptions!$B$1:$R$89,15,FALSE)</f>
        <v>SLOW, FAST, MIDDLE_0, MIDDLE_1</v>
      </c>
      <c r="AN75" s="6" t="str">
        <f>VLOOKUP(H75,PortConfigOptions!$B$1:$R$89,16,FALSE)</f>
        <v>SLOW, FAST, MIDDLE</v>
      </c>
      <c r="AO75" s="6" t="str">
        <f>VLOOKUP(H75,PortConfigOptions!$B$1:$R$89,17,FALSE)</f>
        <v>TYPE_1_SUPP_PISA, TYPE_2_SUPP_PISA</v>
      </c>
      <c r="AV75" s="6" t="s">
        <v>110</v>
      </c>
    </row>
    <row r="76" spans="1:48" x14ac:dyDescent="0.25">
      <c r="A76" s="6">
        <v>4</v>
      </c>
      <c r="B76" s="7">
        <v>112</v>
      </c>
      <c r="D76" s="7" t="s">
        <v>754</v>
      </c>
      <c r="E76" s="7" t="s">
        <v>757</v>
      </c>
      <c r="F76" s="7" t="s">
        <v>759</v>
      </c>
      <c r="G76" s="7" t="s">
        <v>756</v>
      </c>
      <c r="H76" s="6" t="s">
        <v>300</v>
      </c>
      <c r="I76" s="6" t="b">
        <v>0</v>
      </c>
      <c r="J76" s="6" t="b">
        <v>0</v>
      </c>
      <c r="K76" s="6" t="b">
        <v>0</v>
      </c>
      <c r="L76" s="7" t="s">
        <v>749</v>
      </c>
      <c r="M76" s="7" t="s">
        <v>760</v>
      </c>
      <c r="N76" s="6" t="s">
        <v>735</v>
      </c>
      <c r="O76" s="6" t="b">
        <v>0</v>
      </c>
      <c r="P76" s="7" t="b">
        <v>0</v>
      </c>
      <c r="Q76" s="7" t="b">
        <v>0</v>
      </c>
      <c r="R76" s="7" t="b">
        <v>0</v>
      </c>
      <c r="S76" s="7" t="b">
        <v>0</v>
      </c>
      <c r="T76" s="7" t="s">
        <v>736</v>
      </c>
      <c r="U76" s="7" t="b">
        <v>0</v>
      </c>
      <c r="V76" s="6" t="s">
        <v>762</v>
      </c>
      <c r="W76" s="6" t="s">
        <v>762</v>
      </c>
      <c r="X76" s="19" t="s">
        <v>6</v>
      </c>
      <c r="Z76" s="6" t="str">
        <f>VLOOKUP(H76,PortConfigOptions!$B$1:$R$89,2,FALSE)</f>
        <v>TRUE, FALSE</v>
      </c>
      <c r="AA76" s="6" t="str">
        <f>VLOOKUP(H76,PortConfigOptions!$B$1:$R$89,3,FALSE)</f>
        <v>TRUE, FALSE</v>
      </c>
      <c r="AB76" s="6" t="str">
        <f>VLOOKUP(H76,PortConfigOptions!$B$1:$R$89,4,FALSE)</f>
        <v>TRUE, FALSE</v>
      </c>
      <c r="AC76" s="6" t="str">
        <f>VLOOKUP(H76,PortConfigOptions!$B$1:$R$89,5,FALSE)</f>
        <v>PORT_PIN_LEVEL_LOW, PORT_PIN_LEVEL_HIGH</v>
      </c>
      <c r="AD76" s="6" t="str">
        <f>VLOOKUP(H76,PortConfigOptions!$B$1:$R$89,6,FALSE)</f>
        <v>RSCAN0TX1_ALT1_OUT, CSIH2RYI_ALT2_IN, CSIH2CSS0_ALT2_OUT, TAUD2I14_ALT3_IN, TAUD2O14_ALT3_OUT, TPB1O_ALT4_OUT, TSG30ODI1_ALT5_IN, TSG30O1_ALT5_OUT, DIO</v>
      </c>
      <c r="AE76" s="6" t="str">
        <f>VLOOKUP(H76,PortConfigOptions!$B$1:$R$89,7,FALSE)</f>
        <v>PORT_PIN_OUT, PORT_PIN_IN</v>
      </c>
      <c r="AF76" s="6" t="str">
        <f>VLOOKUP(H76,PortConfigOptions!$B$1:$R$89,8,FALSE)</f>
        <v>TRUE, FALSE</v>
      </c>
      <c r="AG76" s="6" t="str">
        <f>VLOOKUP(H76,PortConfigOptions!$B$1:$R$89,9,FALSE)</f>
        <v>TRUE, FALSE</v>
      </c>
      <c r="AH76" s="6" t="str">
        <f>VLOOKUP(H76,PortConfigOptions!$B$1:$R$89,10,FALSE)</f>
        <v>TRUE, FALSE</v>
      </c>
      <c r="AI76" s="6" t="str">
        <f>VLOOKUP(H76,PortConfigOptions!$B$1:$R$89,11,FALSE)</f>
        <v>TRUE, FALSE</v>
      </c>
      <c r="AJ76" s="6" t="str">
        <f>VLOOKUP(H76,PortConfigOptions!$B$1:$R$89,12,FALSE)</f>
        <v>TRUE, FALSE</v>
      </c>
      <c r="AK76" s="6" t="str">
        <f>VLOOKUP(H76,PortConfigOptions!$B$1:$R$89,13,FALSE)</f>
        <v>OpenDrain_PushPull, OpenDrain_N_Channel, OpenDrain_P_Channel</v>
      </c>
      <c r="AL76" s="6" t="str">
        <f>VLOOKUP(H76,PortConfigOptions!$B$1:$R$89,14,FALSE)</f>
        <v>TRUE, FALSE</v>
      </c>
      <c r="AM76" s="6" t="str">
        <f>VLOOKUP(H76,PortConfigOptions!$B$1:$R$89,15,FALSE)</f>
        <v>SLOW, FAST, MIDDLE_0, MIDDLE_1</v>
      </c>
      <c r="AN76" s="6" t="str">
        <f>VLOOKUP(H76,PortConfigOptions!$B$1:$R$89,16,FALSE)</f>
        <v>SLOW, FAST, MIDDLE</v>
      </c>
      <c r="AO76" s="6">
        <f>VLOOKUP(H76,PortConfigOptions!$B$1:$R$89,17,FALSE)</f>
        <v>0</v>
      </c>
      <c r="AS76" s="7" t="s">
        <v>270</v>
      </c>
      <c r="AV76" s="6" t="s">
        <v>14</v>
      </c>
    </row>
    <row r="77" spans="1:48" x14ac:dyDescent="0.25">
      <c r="A77" s="6">
        <v>74</v>
      </c>
      <c r="B77" s="7">
        <v>113</v>
      </c>
      <c r="D77" s="7" t="s">
        <v>155</v>
      </c>
      <c r="E77" s="20" t="s">
        <v>389</v>
      </c>
      <c r="F77" s="7" t="s">
        <v>701</v>
      </c>
      <c r="G77" s="7" t="s">
        <v>156</v>
      </c>
      <c r="H77" s="6" t="s">
        <v>156</v>
      </c>
      <c r="I77" s="6" t="b">
        <v>0</v>
      </c>
      <c r="J77" s="6" t="b">
        <v>0</v>
      </c>
      <c r="K77" s="6" t="b">
        <v>0</v>
      </c>
      <c r="L77" s="7" t="s">
        <v>749</v>
      </c>
      <c r="M77" s="7" t="s">
        <v>701</v>
      </c>
      <c r="N77" s="6" t="s">
        <v>735</v>
      </c>
      <c r="O77" s="7" t="b">
        <v>0</v>
      </c>
      <c r="P77" s="7" t="b">
        <v>0</v>
      </c>
      <c r="Q77" s="19" t="s">
        <v>6</v>
      </c>
      <c r="R77" s="7" t="b">
        <v>0</v>
      </c>
      <c r="S77" s="7" t="b">
        <v>0</v>
      </c>
      <c r="T77" s="7" t="s">
        <v>736</v>
      </c>
      <c r="U77" s="7" t="b">
        <v>0</v>
      </c>
      <c r="V77" s="6" t="s">
        <v>762</v>
      </c>
      <c r="W77" s="6" t="s">
        <v>762</v>
      </c>
      <c r="X77" s="19" t="s">
        <v>6</v>
      </c>
      <c r="Z77" s="6" t="str">
        <f>VLOOKUP(H77,PortConfigOptions!$B$1:$R$89,2,FALSE)</f>
        <v>TRUE, FALSE</v>
      </c>
      <c r="AA77" s="6" t="str">
        <f>VLOOKUP(H77,PortConfigOptions!$B$1:$R$89,3,FALSE)</f>
        <v>TRUE, FALSE</v>
      </c>
      <c r="AB77" s="6" t="str">
        <f>VLOOKUP(H77,PortConfigOptions!$B$1:$R$89,4,FALSE)</f>
        <v>TRUE, FALSE</v>
      </c>
      <c r="AC77" s="6" t="str">
        <f>VLOOKUP(H77,PortConfigOptions!$B$1:$R$89,5,FALSE)</f>
        <v>PORT_PIN_LEVEL_LOW, PORT_PIN_LEVEL_HIGH</v>
      </c>
      <c r="AD77" s="6" t="str">
        <f>VLOOKUP(H77,PortConfigOptions!$B$1:$R$89,6,FALSE)</f>
        <v>CSIH2RYO_ALT1_OUT, CSIH0CSS2_ALT2_OUT, RLIN31TX_ALT3_OUT, TAUJ1I3_ALT4_IN, TAUJ1O3_ALT4_OUT, CSIH0SI_ALT5_IN, TAUD2I11_ALT6_IN, TAUD2O11_ALT6_OUT, DIO</v>
      </c>
      <c r="AE77" s="6" t="str">
        <f>VLOOKUP(H77,PortConfigOptions!$B$1:$R$89,7,FALSE)</f>
        <v>PORT_PIN_OUT, PORT_PIN_IN</v>
      </c>
      <c r="AF77" s="6" t="str">
        <f>VLOOKUP(H77,PortConfigOptions!$B$1:$R$89,8,FALSE)</f>
        <v>TRUE, FALSE</v>
      </c>
      <c r="AG77" s="6" t="str">
        <f>VLOOKUP(H77,PortConfigOptions!$B$1:$R$89,9,FALSE)</f>
        <v>TRUE, FALSE</v>
      </c>
      <c r="AH77" s="6">
        <f>VLOOKUP(H77,PortConfigOptions!$B$1:$R$89,10,FALSE)</f>
        <v>0</v>
      </c>
      <c r="AI77" s="6" t="str">
        <f>VLOOKUP(H77,PortConfigOptions!$B$1:$R$89,11,FALSE)</f>
        <v>TRUE, FALSE</v>
      </c>
      <c r="AJ77" s="6" t="str">
        <f>VLOOKUP(H77,PortConfigOptions!$B$1:$R$89,12,FALSE)</f>
        <v>TRUE, FALSE</v>
      </c>
      <c r="AK77" s="6" t="str">
        <f>VLOOKUP(H77,PortConfigOptions!$B$1:$R$89,13,FALSE)</f>
        <v>OpenDrain_PushPull, OpenDrain_N_Channel, OpenDrain_P_Channel</v>
      </c>
      <c r="AL77" s="6" t="str">
        <f>VLOOKUP(H77,PortConfigOptions!$B$1:$R$89,14,FALSE)</f>
        <v>TRUE, FALSE</v>
      </c>
      <c r="AM77" s="6" t="str">
        <f>VLOOKUP(H77,PortConfigOptions!$B$1:$R$89,15,FALSE)</f>
        <v>SLOW, FAST, MIDDLE_0, MIDDLE_1</v>
      </c>
      <c r="AN77" s="6" t="str">
        <f>VLOOKUP(H77,PortConfigOptions!$B$1:$R$89,16,FALSE)</f>
        <v>SLOW, FAST, MIDDLE</v>
      </c>
      <c r="AO77" s="6">
        <f>VLOOKUP(H77,PortConfigOptions!$B$1:$R$89,17,FALSE)</f>
        <v>0</v>
      </c>
      <c r="AR77" s="20"/>
      <c r="AV77" s="6" t="s">
        <v>157</v>
      </c>
    </row>
    <row r="78" spans="1:48" x14ac:dyDescent="0.25">
      <c r="A78" s="6">
        <v>108</v>
      </c>
      <c r="B78" s="7">
        <v>114</v>
      </c>
      <c r="D78" s="7" t="s">
        <v>379</v>
      </c>
      <c r="E78" s="7" t="s">
        <v>470</v>
      </c>
      <c r="F78" s="7" t="s">
        <v>254</v>
      </c>
      <c r="G78" s="7" t="s">
        <v>187</v>
      </c>
      <c r="H78" s="6" t="s">
        <v>341</v>
      </c>
      <c r="I78" s="6" t="b">
        <v>0</v>
      </c>
      <c r="J78" s="6" t="b">
        <v>0</v>
      </c>
      <c r="K78" s="6" t="b">
        <v>0</v>
      </c>
      <c r="L78" s="7" t="s">
        <v>699</v>
      </c>
      <c r="M78" s="7" t="s">
        <v>718</v>
      </c>
      <c r="N78" s="6" t="s">
        <v>735</v>
      </c>
      <c r="O78" s="7" t="b">
        <v>0</v>
      </c>
      <c r="P78" s="7" t="b">
        <v>0</v>
      </c>
      <c r="Q78" s="7" t="b">
        <v>0</v>
      </c>
      <c r="R78" s="7" t="b">
        <v>0</v>
      </c>
      <c r="S78" s="7" t="b">
        <v>0</v>
      </c>
      <c r="T78" s="7" t="s">
        <v>736</v>
      </c>
      <c r="U78" s="7" t="b">
        <v>0</v>
      </c>
      <c r="V78" s="6" t="s">
        <v>762</v>
      </c>
      <c r="W78" s="6" t="s">
        <v>762</v>
      </c>
      <c r="X78" s="7" t="s">
        <v>748</v>
      </c>
      <c r="Z78" s="6" t="str">
        <f>VLOOKUP(H78,PortConfigOptions!$B$1:$R$89,2,FALSE)</f>
        <v>TRUE, FALSE</v>
      </c>
      <c r="AA78" s="6" t="str">
        <f>VLOOKUP(H78,PortConfigOptions!$B$1:$R$89,3,FALSE)</f>
        <v>TRUE, FALSE</v>
      </c>
      <c r="AB78" s="6" t="str">
        <f>VLOOKUP(H78,PortConfigOptions!$B$1:$R$89,4,FALSE)</f>
        <v>TRUE, FALSE</v>
      </c>
      <c r="AC78" s="6" t="str">
        <f>VLOOKUP(H78,PortConfigOptions!$B$1:$R$89,5,FALSE)</f>
        <v>PORT_PIN_LEVEL_LOW, PORT_PIN_LEVEL_HIGH</v>
      </c>
      <c r="AD78" s="6" t="str">
        <f>VLOOKUP(H78,PortConfigOptions!$B$1:$R$89,6,FALSE)</f>
        <v>SCI30RX_ALT1_IN, INTP0_ALT1_IN, CSIH0CSS3_ALT2_OUT, RLIN31RX_ALT3_IN, INTP4_ALT3_IN, CSIH3DCS_ALT4_IN, CSIH3SO_ALT4_OUT, TSG30ODI2_ALT5_IN, TSG30O2_ALT5_OUT, CHIHODCS_ALT6_IN, CSIH0SO_ALT6_OUT, DIO</v>
      </c>
      <c r="AE78" s="6" t="str">
        <f>VLOOKUP(H78,PortConfigOptions!$B$1:$R$89,7,FALSE)</f>
        <v>PORT_PIN_OUT, PORT_PIN_IN</v>
      </c>
      <c r="AF78" s="6" t="str">
        <f>VLOOKUP(H78,PortConfigOptions!$B$1:$R$89,8,FALSE)</f>
        <v>TRUE, FALSE</v>
      </c>
      <c r="AG78" s="6" t="str">
        <f>VLOOKUP(H78,PortConfigOptions!$B$1:$R$89,9,FALSE)</f>
        <v>TRUE, FALSE</v>
      </c>
      <c r="AH78" s="6" t="str">
        <f>VLOOKUP(H78,PortConfigOptions!$B$1:$R$89,10,FALSE)</f>
        <v>TRUE, FALSE</v>
      </c>
      <c r="AI78" s="6" t="str">
        <f>VLOOKUP(H78,PortConfigOptions!$B$1:$R$89,11,FALSE)</f>
        <v>TRUE, FALSE</v>
      </c>
      <c r="AJ78" s="6" t="str">
        <f>VLOOKUP(H78,PortConfigOptions!$B$1:$R$89,12,FALSE)</f>
        <v>TRUE, FALSE</v>
      </c>
      <c r="AK78" s="6" t="str">
        <f>VLOOKUP(H78,PortConfigOptions!$B$1:$R$89,13,FALSE)</f>
        <v>OpenDrain_PushPull, OpenDrain_N_Channel, OpenDrain_P_Channel</v>
      </c>
      <c r="AL78" s="6" t="str">
        <f>VLOOKUP(H78,PortConfigOptions!$B$1:$R$89,14,FALSE)</f>
        <v>TRUE, FALSE</v>
      </c>
      <c r="AM78" s="6" t="str">
        <f>VLOOKUP(H78,PortConfigOptions!$B$1:$R$89,15,FALSE)</f>
        <v>SLOW, FAST, MIDDLE_0, MIDDLE_1</v>
      </c>
      <c r="AN78" s="6" t="str">
        <f>VLOOKUP(H78,PortConfigOptions!$B$1:$R$89,16,FALSE)</f>
        <v>SLOW, FAST, MIDDLE</v>
      </c>
      <c r="AO78" s="6" t="str">
        <f>VLOOKUP(H78,PortConfigOptions!$B$1:$R$89,17,FALSE)</f>
        <v>TYPE_1_SUPP_PISA, TYPE_2_SUPP_PISA</v>
      </c>
      <c r="AV78" s="6" t="s">
        <v>188</v>
      </c>
    </row>
    <row r="79" spans="1:48" x14ac:dyDescent="0.25">
      <c r="A79" s="6">
        <v>107</v>
      </c>
      <c r="B79" s="7">
        <v>115</v>
      </c>
      <c r="D79" s="7" t="s">
        <v>378</v>
      </c>
      <c r="E79" s="7" t="s">
        <v>473</v>
      </c>
      <c r="F79" s="7" t="s">
        <v>254</v>
      </c>
      <c r="G79" s="7" t="s">
        <v>185</v>
      </c>
      <c r="H79" s="6" t="s">
        <v>340</v>
      </c>
      <c r="I79" s="6" t="b">
        <v>0</v>
      </c>
      <c r="J79" s="6" t="b">
        <v>0</v>
      </c>
      <c r="K79" s="6" t="b">
        <v>0</v>
      </c>
      <c r="L79" s="7" t="s">
        <v>699</v>
      </c>
      <c r="M79" s="7" t="s">
        <v>719</v>
      </c>
      <c r="N79" s="6" t="s">
        <v>734</v>
      </c>
      <c r="O79" s="7" t="b">
        <v>0</v>
      </c>
      <c r="P79" s="7" t="b">
        <v>0</v>
      </c>
      <c r="Q79" s="7" t="b">
        <v>0</v>
      </c>
      <c r="R79" s="7" t="b">
        <v>0</v>
      </c>
      <c r="S79" s="7" t="b">
        <v>0</v>
      </c>
      <c r="T79" s="7" t="s">
        <v>737</v>
      </c>
      <c r="U79" s="7" t="b">
        <v>0</v>
      </c>
      <c r="V79" s="6" t="s">
        <v>762</v>
      </c>
      <c r="W79" s="6" t="s">
        <v>762</v>
      </c>
      <c r="X79" s="19" t="s">
        <v>6</v>
      </c>
      <c r="Z79" s="6" t="str">
        <f>VLOOKUP(H79,PortConfigOptions!$B$1:$R$89,2,FALSE)</f>
        <v>TRUE, FALSE</v>
      </c>
      <c r="AA79" s="6" t="str">
        <f>VLOOKUP(H79,PortConfigOptions!$B$1:$R$89,3,FALSE)</f>
        <v>TRUE, FALSE</v>
      </c>
      <c r="AB79" s="6" t="str">
        <f>VLOOKUP(H79,PortConfigOptions!$B$1:$R$89,4,FALSE)</f>
        <v>TRUE, FALSE</v>
      </c>
      <c r="AC79" s="6" t="str">
        <f>VLOOKUP(H79,PortConfigOptions!$B$1:$R$89,5,FALSE)</f>
        <v>PORT_PIN_LEVEL_LOW, PORT_PIN_LEVEL_HIGH</v>
      </c>
      <c r="AD79" s="6" t="str">
        <f>VLOOKUP(H79,PortConfigOptions!$B$1:$R$89,6,FALSE)</f>
        <v>SCI30TX_ALT1_OUT, OSTM1ODI_ALT2_IN, OSTM1O_ALT2_OUT, CSIH0SCI_ALT3_IN, CSIH0SCO_ALT3_OUT, CSIH3SI_ALT4_IN, CSIH0CSS4_ALT4_OUT, TSG30ODI3_ALT5_IN, TSG30O3_ALT5_OUT, TAUD1I0_ALT6_IN, TAUD1O0_ALT6_OUT, DIO</v>
      </c>
      <c r="AE79" s="6" t="str">
        <f>VLOOKUP(H79,PortConfigOptions!$B$1:$R$89,7,FALSE)</f>
        <v>PORT_PIN_OUT, PORT_PIN_IN</v>
      </c>
      <c r="AF79" s="6" t="str">
        <f>VLOOKUP(H79,PortConfigOptions!$B$1:$R$89,8,FALSE)</f>
        <v>TRUE, FALSE</v>
      </c>
      <c r="AG79" s="6" t="str">
        <f>VLOOKUP(H79,PortConfigOptions!$B$1:$R$89,9,FALSE)</f>
        <v>TRUE, FALSE</v>
      </c>
      <c r="AH79" s="6" t="str">
        <f>VLOOKUP(H79,PortConfigOptions!$B$1:$R$89,10,FALSE)</f>
        <v>TRUE, FALSE</v>
      </c>
      <c r="AI79" s="6" t="str">
        <f>VLOOKUP(H79,PortConfigOptions!$B$1:$R$89,11,FALSE)</f>
        <v>TRUE, FALSE</v>
      </c>
      <c r="AJ79" s="6" t="str">
        <f>VLOOKUP(H79,PortConfigOptions!$B$1:$R$89,12,FALSE)</f>
        <v>TRUE, FALSE</v>
      </c>
      <c r="AK79" s="6" t="str">
        <f>VLOOKUP(H79,PortConfigOptions!$B$1:$R$89,13,FALSE)</f>
        <v>OpenDrain_PushPull, OpenDrain_N_Channel, OpenDrain_P_Channel</v>
      </c>
      <c r="AL79" s="6" t="str">
        <f>VLOOKUP(H79,PortConfigOptions!$B$1:$R$89,14,FALSE)</f>
        <v>TRUE, FALSE</v>
      </c>
      <c r="AM79" s="6" t="str">
        <f>VLOOKUP(H79,PortConfigOptions!$B$1:$R$89,15,FALSE)</f>
        <v>SLOW, FAST, MIDDLE_0, MIDDLE_1</v>
      </c>
      <c r="AN79" s="6" t="str">
        <f>VLOOKUP(H79,PortConfigOptions!$B$1:$R$89,16,FALSE)</f>
        <v>SLOW, FAST, MIDDLE</v>
      </c>
      <c r="AO79" s="6">
        <f>VLOOKUP(H79,PortConfigOptions!$B$1:$R$89,17,FALSE)</f>
        <v>0</v>
      </c>
      <c r="AV79" s="6" t="s">
        <v>186</v>
      </c>
    </row>
    <row r="80" spans="1:48" x14ac:dyDescent="0.25">
      <c r="A80" s="6">
        <v>106</v>
      </c>
      <c r="B80" s="7">
        <v>116</v>
      </c>
      <c r="D80" s="7" t="s">
        <v>377</v>
      </c>
      <c r="E80" s="7" t="s">
        <v>472</v>
      </c>
      <c r="F80" s="7" t="s">
        <v>254</v>
      </c>
      <c r="G80" s="7" t="s">
        <v>183</v>
      </c>
      <c r="H80" s="6" t="s">
        <v>339</v>
      </c>
      <c r="I80" s="6" t="b">
        <v>0</v>
      </c>
      <c r="J80" s="6" t="b">
        <v>0</v>
      </c>
      <c r="K80" s="6" t="b">
        <v>0</v>
      </c>
      <c r="L80" s="7" t="s">
        <v>699</v>
      </c>
      <c r="M80" s="7" t="s">
        <v>720</v>
      </c>
      <c r="N80" s="6" t="s">
        <v>735</v>
      </c>
      <c r="O80" s="7" t="b">
        <v>0</v>
      </c>
      <c r="P80" s="7" t="b">
        <v>0</v>
      </c>
      <c r="Q80" s="7" t="b">
        <v>0</v>
      </c>
      <c r="R80" s="7" t="b">
        <v>0</v>
      </c>
      <c r="S80" s="7" t="b">
        <v>0</v>
      </c>
      <c r="T80" s="7" t="s">
        <v>736</v>
      </c>
      <c r="U80" s="7" t="b">
        <v>0</v>
      </c>
      <c r="V80" s="6" t="s">
        <v>762</v>
      </c>
      <c r="W80" s="6" t="s">
        <v>762</v>
      </c>
      <c r="X80" s="7" t="s">
        <v>748</v>
      </c>
      <c r="Z80" s="6" t="str">
        <f>VLOOKUP(H80,PortConfigOptions!$B$1:$R$89,2,FALSE)</f>
        <v>TRUE, FALSE</v>
      </c>
      <c r="AA80" s="6" t="str">
        <f>VLOOKUP(H80,PortConfigOptions!$B$1:$R$89,3,FALSE)</f>
        <v>TRUE, FALSE</v>
      </c>
      <c r="AB80" s="6" t="str">
        <f>VLOOKUP(H80,PortConfigOptions!$B$1:$R$89,4,FALSE)</f>
        <v>TRUE, FALSE</v>
      </c>
      <c r="AC80" s="6" t="str">
        <f>VLOOKUP(H80,PortConfigOptions!$B$1:$R$89,5,FALSE)</f>
        <v>PORT_PIN_LEVEL_LOW, PORT_PIN_LEVEL_HIGH</v>
      </c>
      <c r="AD80" s="6" t="str">
        <f>VLOOKUP(H80,PortConfigOptions!$B$1:$R$89,6,FALSE)</f>
        <v>SCI30SCI_ALT1_IN, SCI30SCO_ALT1_OUT, CSIH0CSS5_ALT2_OUT, CSIH1SI_ALT3_IN, CSIH3SCI_ALT4_IN, CSIH3SCO_ALT4_OUT, TSG30ODI4_ALT5_IN, TSG30O4_ALT5_OUT, TAUD1I1_ALT6_IN, TAUD1O1_ALT6_OUT, DIO</v>
      </c>
      <c r="AE80" s="6" t="str">
        <f>VLOOKUP(H80,PortConfigOptions!$B$1:$R$89,7,FALSE)</f>
        <v>PORT_PIN_OUT, PORT_PIN_IN</v>
      </c>
      <c r="AF80" s="6" t="str">
        <f>VLOOKUP(H80,PortConfigOptions!$B$1:$R$89,8,FALSE)</f>
        <v>TRUE, FALSE</v>
      </c>
      <c r="AG80" s="6" t="str">
        <f>VLOOKUP(H80,PortConfigOptions!$B$1:$R$89,9,FALSE)</f>
        <v>TRUE, FALSE</v>
      </c>
      <c r="AH80" s="6" t="str">
        <f>VLOOKUP(H80,PortConfigOptions!$B$1:$R$89,10,FALSE)</f>
        <v>TRUE, FALSE</v>
      </c>
      <c r="AI80" s="6" t="str">
        <f>VLOOKUP(H80,PortConfigOptions!$B$1:$R$89,11,FALSE)</f>
        <v>TRUE, FALSE</v>
      </c>
      <c r="AJ80" s="6" t="str">
        <f>VLOOKUP(H80,PortConfigOptions!$B$1:$R$89,12,FALSE)</f>
        <v>TRUE, FALSE</v>
      </c>
      <c r="AK80" s="6" t="str">
        <f>VLOOKUP(H80,PortConfigOptions!$B$1:$R$89,13,FALSE)</f>
        <v>OpenDrain_PushPull, OpenDrain_N_Channel, OpenDrain_P_Channel</v>
      </c>
      <c r="AL80" s="6" t="str">
        <f>VLOOKUP(H80,PortConfigOptions!$B$1:$R$89,14,FALSE)</f>
        <v>TRUE, FALSE</v>
      </c>
      <c r="AM80" s="6" t="str">
        <f>VLOOKUP(H80,PortConfigOptions!$B$1:$R$89,15,FALSE)</f>
        <v>SLOW, FAST, MIDDLE_0, MIDDLE_1</v>
      </c>
      <c r="AN80" s="6" t="str">
        <f>VLOOKUP(H80,PortConfigOptions!$B$1:$R$89,16,FALSE)</f>
        <v>SLOW, FAST, MIDDLE</v>
      </c>
      <c r="AO80" s="6" t="str">
        <f>VLOOKUP(H80,PortConfigOptions!$B$1:$R$89,17,FALSE)</f>
        <v>TYPE_1_SUPP_PISA, TYPE_2_SUPP_PISA</v>
      </c>
      <c r="AV80" s="6" t="s">
        <v>184</v>
      </c>
    </row>
    <row r="81" spans="1:48" x14ac:dyDescent="0.25">
      <c r="A81" s="6">
        <v>104</v>
      </c>
      <c r="B81" s="7">
        <v>117</v>
      </c>
      <c r="D81" s="7" t="s">
        <v>375</v>
      </c>
      <c r="E81" s="7" t="s">
        <v>467</v>
      </c>
      <c r="F81" s="7" t="s">
        <v>253</v>
      </c>
      <c r="G81" s="7" t="s">
        <v>179</v>
      </c>
      <c r="H81" s="6" t="s">
        <v>337</v>
      </c>
      <c r="I81" s="6" t="b">
        <v>0</v>
      </c>
      <c r="J81" s="6" t="b">
        <v>0</v>
      </c>
      <c r="K81" s="6" t="b">
        <v>0</v>
      </c>
      <c r="L81" s="7" t="s">
        <v>699</v>
      </c>
      <c r="M81" s="7" t="s">
        <v>721</v>
      </c>
      <c r="N81" s="6" t="s">
        <v>735</v>
      </c>
      <c r="O81" s="7" t="b">
        <v>0</v>
      </c>
      <c r="P81" s="7" t="b">
        <v>0</v>
      </c>
      <c r="Q81" s="7" t="b">
        <v>0</v>
      </c>
      <c r="R81" s="7" t="b">
        <v>0</v>
      </c>
      <c r="S81" s="7" t="b">
        <v>0</v>
      </c>
      <c r="T81" s="7" t="s">
        <v>736</v>
      </c>
      <c r="U81" s="7" t="b">
        <v>0</v>
      </c>
      <c r="V81" s="6" t="s">
        <v>762</v>
      </c>
      <c r="W81" s="6" t="s">
        <v>762</v>
      </c>
      <c r="X81" s="19" t="s">
        <v>6</v>
      </c>
      <c r="Z81" s="6" t="str">
        <f>VLOOKUP(H81,PortConfigOptions!$B$1:$R$89,2,FALSE)</f>
        <v>TRUE, FALSE</v>
      </c>
      <c r="AA81" s="6" t="str">
        <f>VLOOKUP(H81,PortConfigOptions!$B$1:$R$89,3,FALSE)</f>
        <v>TRUE, FALSE</v>
      </c>
      <c r="AB81" s="6" t="str">
        <f>VLOOKUP(H81,PortConfigOptions!$B$1:$R$89,4,FALSE)</f>
        <v>TRUE, FALSE</v>
      </c>
      <c r="AC81" s="6" t="str">
        <f>VLOOKUP(H81,PortConfigOptions!$B$1:$R$89,5,FALSE)</f>
        <v>PORT_PIN_LEVEL_LOW, PORT_PIN_LEVEL_HIGH</v>
      </c>
      <c r="AD81" s="6" t="str">
        <f>VLOOKUP(H81,PortConfigOptions!$B$1:$R$89,6,FALSE)</f>
        <v>SCI31RX_ALT1_IN, INTP1_ALT1_IN, CSIH3RYO_ALT1_OUT, CSIH0CSS6_ALT2_OUT, CSIH1DCS_ALT3_IN, CSIH1SO_ALT3_OUT, CSIH3RYI_ALT4_IN, CSIH3CSS0_ALT4_OUT, TSG30ODI5_ALT5_IN, TSG30O5_ALT5_OUT, TAUD1I2_ALT6_IN, TAUD1O2_ALT6_OUT, DIO</v>
      </c>
      <c r="AE81" s="6" t="str">
        <f>VLOOKUP(H81,PortConfigOptions!$B$1:$R$89,7,FALSE)</f>
        <v>PORT_PIN_OUT, PORT_PIN_IN</v>
      </c>
      <c r="AF81" s="6" t="str">
        <f>VLOOKUP(H81,PortConfigOptions!$B$1:$R$89,8,FALSE)</f>
        <v>TRUE, FALSE</v>
      </c>
      <c r="AG81" s="6" t="str">
        <f>VLOOKUP(H81,PortConfigOptions!$B$1:$R$89,9,FALSE)</f>
        <v>TRUE, FALSE</v>
      </c>
      <c r="AH81" s="6" t="str">
        <f>VLOOKUP(H81,PortConfigOptions!$B$1:$R$89,10,FALSE)</f>
        <v>TRUE, FALSE</v>
      </c>
      <c r="AI81" s="6" t="str">
        <f>VLOOKUP(H81,PortConfigOptions!$B$1:$R$89,11,FALSE)</f>
        <v>TRUE, FALSE</v>
      </c>
      <c r="AJ81" s="6" t="str">
        <f>VLOOKUP(H81,PortConfigOptions!$B$1:$R$89,12,FALSE)</f>
        <v>TRUE, FALSE</v>
      </c>
      <c r="AK81" s="6" t="str">
        <f>VLOOKUP(H81,PortConfigOptions!$B$1:$R$89,13,FALSE)</f>
        <v>OpenDrain_PushPull, OpenDrain_N_Channel, OpenDrain_P_Channel</v>
      </c>
      <c r="AL81" s="6" t="str">
        <f>VLOOKUP(H81,PortConfigOptions!$B$1:$R$89,14,FALSE)</f>
        <v>TRUE, FALSE</v>
      </c>
      <c r="AM81" s="6" t="str">
        <f>VLOOKUP(H81,PortConfigOptions!$B$1:$R$89,15,FALSE)</f>
        <v>SLOW, FAST, MIDDLE_0, MIDDLE_1</v>
      </c>
      <c r="AN81" s="6" t="str">
        <f>VLOOKUP(H81,PortConfigOptions!$B$1:$R$89,16,FALSE)</f>
        <v>SLOW, FAST, MIDDLE</v>
      </c>
      <c r="AO81" s="6">
        <f>VLOOKUP(H81,PortConfigOptions!$B$1:$R$89,17,FALSE)</f>
        <v>0</v>
      </c>
      <c r="AV81" s="6" t="s">
        <v>180</v>
      </c>
    </row>
    <row r="82" spans="1:48" x14ac:dyDescent="0.25">
      <c r="A82" s="6">
        <v>102</v>
      </c>
      <c r="B82" s="7">
        <v>118</v>
      </c>
      <c r="D82" s="7" t="s">
        <v>373</v>
      </c>
      <c r="E82" s="7" t="s">
        <v>468</v>
      </c>
      <c r="F82" s="7" t="s">
        <v>253</v>
      </c>
      <c r="G82" s="7" t="s">
        <v>175</v>
      </c>
      <c r="H82" s="6" t="s">
        <v>335</v>
      </c>
      <c r="I82" s="6" t="b">
        <v>0</v>
      </c>
      <c r="J82" s="6" t="b">
        <v>0</v>
      </c>
      <c r="K82" s="6" t="b">
        <v>0</v>
      </c>
      <c r="L82" s="7" t="s">
        <v>699</v>
      </c>
      <c r="M82" s="7" t="s">
        <v>722</v>
      </c>
      <c r="N82" s="6" t="s">
        <v>735</v>
      </c>
      <c r="O82" s="7" t="b">
        <v>0</v>
      </c>
      <c r="P82" s="7" t="b">
        <v>0</v>
      </c>
      <c r="Q82" s="7" t="b">
        <v>0</v>
      </c>
      <c r="R82" s="7" t="b">
        <v>0</v>
      </c>
      <c r="S82" s="7" t="b">
        <v>0</v>
      </c>
      <c r="T82" s="7" t="s">
        <v>736</v>
      </c>
      <c r="U82" s="7" t="b">
        <v>0</v>
      </c>
      <c r="V82" s="6" t="s">
        <v>762</v>
      </c>
      <c r="W82" s="6" t="s">
        <v>762</v>
      </c>
      <c r="X82" s="19" t="s">
        <v>6</v>
      </c>
      <c r="Z82" s="6" t="str">
        <f>VLOOKUP(H82,PortConfigOptions!$B$1:$R$89,2,FALSE)</f>
        <v>TRUE, FALSE</v>
      </c>
      <c r="AA82" s="6" t="str">
        <f>VLOOKUP(H82,PortConfigOptions!$B$1:$R$89,3,FALSE)</f>
        <v>TRUE, FALSE</v>
      </c>
      <c r="AB82" s="6" t="str">
        <f>VLOOKUP(H82,PortConfigOptions!$B$1:$R$89,4,FALSE)</f>
        <v>TRUE, FALSE</v>
      </c>
      <c r="AC82" s="6" t="str">
        <f>VLOOKUP(H82,PortConfigOptions!$B$1:$R$89,5,FALSE)</f>
        <v>PORT_PIN_LEVEL_LOW, PORT_PIN_LEVEL_HIGH</v>
      </c>
      <c r="AD82" s="6" t="str">
        <f>VLOOKUP(H82,PortConfigOptions!$B$1:$R$89,6,FALSE)</f>
        <v>SCI31TX_ALT1_OUT, CSIH0CSS7_ALT2_OUT, CSIH1SCI_ALT3_IN, CSIH1SCO_ALT3_OUT, CSIH3CSS1_ALT4_OUT, TSG30ODI6_ALT5_IN, TSG30O6_ALT5_OUT, TAUD1I3_ALT6_IN, TAUD1O3_ALT6_OUT, DIO</v>
      </c>
      <c r="AE82" s="6" t="str">
        <f>VLOOKUP(H82,PortConfigOptions!$B$1:$R$89,7,FALSE)</f>
        <v>PORT_PIN_OUT, PORT_PIN_IN</v>
      </c>
      <c r="AF82" s="6" t="str">
        <f>VLOOKUP(H82,PortConfigOptions!$B$1:$R$89,8,FALSE)</f>
        <v>TRUE, FALSE</v>
      </c>
      <c r="AG82" s="6" t="str">
        <f>VLOOKUP(H82,PortConfigOptions!$B$1:$R$89,9,FALSE)</f>
        <v>TRUE, FALSE</v>
      </c>
      <c r="AH82" s="6" t="str">
        <f>VLOOKUP(H82,PortConfigOptions!$B$1:$R$89,10,FALSE)</f>
        <v>TRUE, FALSE</v>
      </c>
      <c r="AI82" s="6" t="str">
        <f>VLOOKUP(H82,PortConfigOptions!$B$1:$R$89,11,FALSE)</f>
        <v>TRUE, FALSE</v>
      </c>
      <c r="AJ82" s="6" t="str">
        <f>VLOOKUP(H82,PortConfigOptions!$B$1:$R$89,12,FALSE)</f>
        <v>TRUE, FALSE</v>
      </c>
      <c r="AK82" s="6" t="str">
        <f>VLOOKUP(H82,PortConfigOptions!$B$1:$R$89,13,FALSE)</f>
        <v>OpenDrain_PushPull, OpenDrain_N_Channel, OpenDrain_P_Channel</v>
      </c>
      <c r="AL82" s="6" t="str">
        <f>VLOOKUP(H82,PortConfigOptions!$B$1:$R$89,14,FALSE)</f>
        <v>TRUE, FALSE</v>
      </c>
      <c r="AM82" s="6" t="str">
        <f>VLOOKUP(H82,PortConfigOptions!$B$1:$R$89,15,FALSE)</f>
        <v>SLOW, FAST, MIDDLE_0, MIDDLE_1</v>
      </c>
      <c r="AN82" s="6" t="str">
        <f>VLOOKUP(H82,PortConfigOptions!$B$1:$R$89,16,FALSE)</f>
        <v>SLOW, FAST, MIDDLE</v>
      </c>
      <c r="AO82" s="6">
        <f>VLOOKUP(H82,PortConfigOptions!$B$1:$R$89,17,FALSE)</f>
        <v>0</v>
      </c>
      <c r="AV82" s="6" t="s">
        <v>176</v>
      </c>
    </row>
    <row r="83" spans="1:48" x14ac:dyDescent="0.25">
      <c r="A83" s="6">
        <v>53</v>
      </c>
      <c r="B83" s="7">
        <v>127</v>
      </c>
      <c r="D83" s="7" t="s">
        <v>102</v>
      </c>
      <c r="E83" s="11" t="s">
        <v>480</v>
      </c>
      <c r="F83" s="7" t="s">
        <v>242</v>
      </c>
      <c r="G83" s="7" t="s">
        <v>101</v>
      </c>
      <c r="H83" s="6" t="s">
        <v>316</v>
      </c>
      <c r="I83" s="6" t="b">
        <v>0</v>
      </c>
      <c r="J83" s="6" t="b">
        <v>0</v>
      </c>
      <c r="K83" s="6" t="b">
        <v>0</v>
      </c>
      <c r="L83" s="7" t="s">
        <v>699</v>
      </c>
      <c r="M83" s="7" t="s">
        <v>724</v>
      </c>
      <c r="N83" s="6" t="s">
        <v>735</v>
      </c>
      <c r="O83" s="7" t="b">
        <v>0</v>
      </c>
      <c r="P83" s="7" t="b">
        <v>0</v>
      </c>
      <c r="Q83" s="11" t="b">
        <v>1</v>
      </c>
      <c r="R83" s="7" t="b">
        <v>0</v>
      </c>
      <c r="S83" s="7" t="b">
        <v>0</v>
      </c>
      <c r="T83" s="7" t="s">
        <v>736</v>
      </c>
      <c r="U83" s="7" t="b">
        <v>0</v>
      </c>
      <c r="V83" s="6" t="s">
        <v>762</v>
      </c>
      <c r="W83" s="6" t="s">
        <v>762</v>
      </c>
      <c r="X83" s="7" t="s">
        <v>748</v>
      </c>
      <c r="Z83" s="6" t="str">
        <f>VLOOKUP(H83,PortConfigOptions!$B$1:$R$89,2,FALSE)</f>
        <v>TRUE, FALSE</v>
      </c>
      <c r="AA83" s="6" t="str">
        <f>VLOOKUP(H83,PortConfigOptions!$B$1:$R$89,3,FALSE)</f>
        <v>TRUE, FALSE</v>
      </c>
      <c r="AB83" s="6" t="str">
        <f>VLOOKUP(H83,PortConfigOptions!$B$1:$R$89,4,FALSE)</f>
        <v>TRUE, FALSE</v>
      </c>
      <c r="AC83" s="6" t="str">
        <f>VLOOKUP(H83,PortConfigOptions!$B$1:$R$89,5,FALSE)</f>
        <v>PORT_PIN_LEVEL_LOW, PORT_PIN_LEVEL_HIGH</v>
      </c>
      <c r="AD83" s="6" t="str">
        <f>VLOOKUP(H83,PortConfigOptions!$B$1:$R$89,6,FALSE)</f>
        <v>TAUD1I10_ALT1_IN, TAUD1ODI10_ALT2_IN, TAUD1O10_ALT2_OUT, TAUD1I11_ALT3_IN, TAUD1ODI11_ALT4_IN, TAUD1O11_ALT4_OUT, CSIH0DCS_ALT5_IN, CSIH0SO_ALT5_OUT, CSIG0SI_ALT6_IN, DIO</v>
      </c>
      <c r="AE83" s="6" t="str">
        <f>VLOOKUP(H83,PortConfigOptions!$B$1:$R$89,7,FALSE)</f>
        <v>PORT_PIN_OUT, PORT_PIN_IN</v>
      </c>
      <c r="AF83" s="6" t="str">
        <f>VLOOKUP(H83,PortConfigOptions!$B$1:$R$89,8,FALSE)</f>
        <v>TRUE, FALSE</v>
      </c>
      <c r="AG83" s="6" t="str">
        <f>VLOOKUP(H83,PortConfigOptions!$B$1:$R$89,9,FALSE)</f>
        <v>TRUE, FALSE</v>
      </c>
      <c r="AH83" s="6" t="str">
        <f>VLOOKUP(H83,PortConfigOptions!$B$1:$R$89,10,FALSE)</f>
        <v>TRUE, FALSE</v>
      </c>
      <c r="AI83" s="6" t="str">
        <f>VLOOKUP(H83,PortConfigOptions!$B$1:$R$89,11,FALSE)</f>
        <v>TRUE, FALSE</v>
      </c>
      <c r="AJ83" s="6" t="str">
        <f>VLOOKUP(H83,PortConfigOptions!$B$1:$R$89,12,FALSE)</f>
        <v>TRUE, FALSE</v>
      </c>
      <c r="AK83" s="6" t="str">
        <f>VLOOKUP(H83,PortConfigOptions!$B$1:$R$89,13,FALSE)</f>
        <v>OpenDrain_PushPull, OpenDrain_N_Channel, OpenDrain_P_Channel</v>
      </c>
      <c r="AL83" s="6" t="str">
        <f>VLOOKUP(H83,PortConfigOptions!$B$1:$R$89,14,FALSE)</f>
        <v>TRUE, FALSE</v>
      </c>
      <c r="AM83" s="6" t="str">
        <f>VLOOKUP(H83,PortConfigOptions!$B$1:$R$89,15,FALSE)</f>
        <v>SLOW, FAST, MIDDLE_0, MIDDLE_1</v>
      </c>
      <c r="AN83" s="6" t="str">
        <f>VLOOKUP(H83,PortConfigOptions!$B$1:$R$89,16,FALSE)</f>
        <v>SLOW, FAST, MIDDLE</v>
      </c>
      <c r="AO83" s="6" t="str">
        <f>VLOOKUP(H83,PortConfigOptions!$B$1:$R$89,17,FALSE)</f>
        <v>TYPE_1_SUPP_PISA, TYPE_2_SUPP_PISA</v>
      </c>
      <c r="AV83" s="6" t="s">
        <v>103</v>
      </c>
    </row>
    <row r="84" spans="1:48" x14ac:dyDescent="0.25">
      <c r="A84" s="6">
        <v>51</v>
      </c>
      <c r="B84" s="7">
        <v>128</v>
      </c>
      <c r="D84" s="7" t="s">
        <v>95</v>
      </c>
      <c r="E84" s="7" t="s">
        <v>481</v>
      </c>
      <c r="F84" s="7" t="s">
        <v>242</v>
      </c>
      <c r="G84" s="7" t="s">
        <v>96</v>
      </c>
      <c r="H84" s="6" t="s">
        <v>314</v>
      </c>
      <c r="I84" s="6" t="b">
        <v>0</v>
      </c>
      <c r="J84" s="6" t="b">
        <v>0</v>
      </c>
      <c r="K84" s="6" t="b">
        <v>0</v>
      </c>
      <c r="L84" s="7" t="s">
        <v>699</v>
      </c>
      <c r="M84" s="7" t="s">
        <v>725</v>
      </c>
      <c r="N84" s="6" t="s">
        <v>735</v>
      </c>
      <c r="O84" s="7" t="b">
        <v>0</v>
      </c>
      <c r="P84" s="7" t="b">
        <v>0</v>
      </c>
      <c r="Q84" s="7" t="b">
        <v>0</v>
      </c>
      <c r="R84" s="7" t="b">
        <v>0</v>
      </c>
      <c r="S84" s="7" t="b">
        <v>0</v>
      </c>
      <c r="T84" s="7" t="s">
        <v>736</v>
      </c>
      <c r="U84" s="7" t="b">
        <v>0</v>
      </c>
      <c r="V84" s="6" t="s">
        <v>762</v>
      </c>
      <c r="W84" s="6" t="s">
        <v>762</v>
      </c>
      <c r="X84" s="7" t="s">
        <v>748</v>
      </c>
      <c r="Z84" s="6" t="str">
        <f>VLOOKUP(H84,PortConfigOptions!$B$1:$R$89,2,FALSE)</f>
        <v>TRUE, FALSE</v>
      </c>
      <c r="AA84" s="6" t="str">
        <f>VLOOKUP(H84,PortConfigOptions!$B$1:$R$89,3,FALSE)</f>
        <v>TRUE, FALSE</v>
      </c>
      <c r="AB84" s="6" t="str">
        <f>VLOOKUP(H84,PortConfigOptions!$B$1:$R$89,4,FALSE)</f>
        <v>TRUE, FALSE</v>
      </c>
      <c r="AC84" s="6" t="str">
        <f>VLOOKUP(H84,PortConfigOptions!$B$1:$R$89,5,FALSE)</f>
        <v>PORT_PIN_LEVEL_LOW, PORT_PIN_LEVEL_HIGH</v>
      </c>
      <c r="AD84" s="6" t="str">
        <f>VLOOKUP(H84,PortConfigOptions!$B$1:$R$89,6,FALSE)</f>
        <v>TAUD1I12_ALT1_IN, TAUD1ODI12_ALT2_IN, TAUD1O12_ALT2_OUT, TAUD1I13_ALT3_IN, TAUD1ODI13_ALT4_IN, TAUD1O13_ALT4_OUT, CSIH0SCI_ALT5_IN, CSIH0SCO_ALT5_OUT, CSIG0DCS_ALT6_IN, CSIG0SO_ALT6_OUT, DIO</v>
      </c>
      <c r="AE84" s="6" t="str">
        <f>VLOOKUP(H84,PortConfigOptions!$B$1:$R$89,7,FALSE)</f>
        <v>PORT_PIN_OUT, PORT_PIN_IN</v>
      </c>
      <c r="AF84" s="6" t="str">
        <f>VLOOKUP(H84,PortConfigOptions!$B$1:$R$89,8,FALSE)</f>
        <v>TRUE, FALSE</v>
      </c>
      <c r="AG84" s="6" t="str">
        <f>VLOOKUP(H84,PortConfigOptions!$B$1:$R$89,9,FALSE)</f>
        <v>TRUE, FALSE</v>
      </c>
      <c r="AH84" s="6" t="str">
        <f>VLOOKUP(H84,PortConfigOptions!$B$1:$R$89,10,FALSE)</f>
        <v>TRUE, FALSE</v>
      </c>
      <c r="AI84" s="6" t="str">
        <f>VLOOKUP(H84,PortConfigOptions!$B$1:$R$89,11,FALSE)</f>
        <v>TRUE, FALSE</v>
      </c>
      <c r="AJ84" s="6" t="str">
        <f>VLOOKUP(H84,PortConfigOptions!$B$1:$R$89,12,FALSE)</f>
        <v>TRUE, FALSE</v>
      </c>
      <c r="AK84" s="6" t="str">
        <f>VLOOKUP(H84,PortConfigOptions!$B$1:$R$89,13,FALSE)</f>
        <v>OpenDrain_PushPull, OpenDrain_N_Channel, OpenDrain_P_Channel</v>
      </c>
      <c r="AL84" s="6" t="str">
        <f>VLOOKUP(H84,PortConfigOptions!$B$1:$R$89,14,FALSE)</f>
        <v>TRUE, FALSE</v>
      </c>
      <c r="AM84" s="6" t="str">
        <f>VLOOKUP(H84,PortConfigOptions!$B$1:$R$89,15,FALSE)</f>
        <v>SLOW, FAST, MIDDLE_0, MIDDLE_1</v>
      </c>
      <c r="AN84" s="6" t="str">
        <f>VLOOKUP(H84,PortConfigOptions!$B$1:$R$89,16,FALSE)</f>
        <v>SLOW, FAST, MIDDLE</v>
      </c>
      <c r="AO84" s="6" t="str">
        <f>VLOOKUP(H84,PortConfigOptions!$B$1:$R$89,17,FALSE)</f>
        <v>TYPE_1_SUPP_PISA, TYPE_2_SUPP_PISA</v>
      </c>
      <c r="AV84" s="6" t="s">
        <v>97</v>
      </c>
    </row>
    <row r="85" spans="1:48" x14ac:dyDescent="0.25">
      <c r="A85" s="6">
        <v>44</v>
      </c>
      <c r="B85" s="7">
        <v>139</v>
      </c>
      <c r="C85" s="12" t="s">
        <v>383</v>
      </c>
      <c r="D85" s="7" t="s">
        <v>74</v>
      </c>
      <c r="E85" s="7" t="s">
        <v>368</v>
      </c>
      <c r="F85" s="7" t="s">
        <v>240</v>
      </c>
      <c r="G85" s="7" t="s">
        <v>75</v>
      </c>
      <c r="H85" s="6" t="s">
        <v>307</v>
      </c>
      <c r="I85" s="6" t="b">
        <v>0</v>
      </c>
      <c r="J85" s="6" t="b">
        <v>0</v>
      </c>
      <c r="K85" s="6" t="b">
        <v>1</v>
      </c>
      <c r="L85" s="7" t="s">
        <v>699</v>
      </c>
      <c r="M85" s="7" t="s">
        <v>731</v>
      </c>
      <c r="N85" s="7" t="s">
        <v>735</v>
      </c>
      <c r="O85" s="7" t="b">
        <v>0</v>
      </c>
      <c r="P85" s="7" t="b">
        <v>0</v>
      </c>
      <c r="Q85" s="7" t="b">
        <v>0</v>
      </c>
      <c r="R85" s="7" t="b">
        <v>0</v>
      </c>
      <c r="S85" s="7" t="b">
        <v>0</v>
      </c>
      <c r="T85" s="7" t="s">
        <v>736</v>
      </c>
      <c r="U85" s="7" t="b">
        <v>0</v>
      </c>
      <c r="V85" s="6" t="s">
        <v>762</v>
      </c>
      <c r="W85" s="6" t="s">
        <v>762</v>
      </c>
      <c r="X85" s="19" t="s">
        <v>6</v>
      </c>
      <c r="Z85" s="6" t="str">
        <f>VLOOKUP(H85,PortConfigOptions!$B$1:$R$89,2,FALSE)</f>
        <v>TRUE, FALSE</v>
      </c>
      <c r="AA85" s="6" t="str">
        <f>VLOOKUP(H85,PortConfigOptions!$B$1:$R$89,3,FALSE)</f>
        <v>TRUE, FALSE</v>
      </c>
      <c r="AB85" s="6" t="str">
        <f>VLOOKUP(H85,PortConfigOptions!$B$1:$R$89,4,FALSE)</f>
        <v>TRUE, FALSE</v>
      </c>
      <c r="AC85" s="6" t="str">
        <f>VLOOKUP(H85,PortConfigOptions!$B$1:$R$89,5,FALSE)</f>
        <v>PORT_PIN_LEVEL_LOW, PORT_PIN_LEVEL_HIGH</v>
      </c>
      <c r="AD85" s="6" t="str">
        <f>VLOOKUP(H85,PortConfigOptions!$B$1:$R$89,6,FALSE)</f>
        <v>TSG31ODI4_ALT2_IN, TSG31O4_ALT2_OUT, TAUD1I6_ALT5_IN, TAUD0ODI11_ALT6_IN, TAUD0O11_ALT6_OUT, DIO</v>
      </c>
      <c r="AE85" s="6" t="str">
        <f>VLOOKUP(H85,PortConfigOptions!$B$1:$R$89,7,FALSE)</f>
        <v>PORT_PIN_OUT, PORT_PIN_IN</v>
      </c>
      <c r="AF85" s="6" t="str">
        <f>VLOOKUP(H85,PortConfigOptions!$B$1:$R$89,8,FALSE)</f>
        <v>TRUE, FALSE</v>
      </c>
      <c r="AG85" s="6" t="str">
        <f>VLOOKUP(H85,PortConfigOptions!$B$1:$R$89,9,FALSE)</f>
        <v>TRUE, FALSE</v>
      </c>
      <c r="AH85" s="6" t="str">
        <f>VLOOKUP(H85,PortConfigOptions!$B$1:$R$89,10,FALSE)</f>
        <v>TRUE, FALSE</v>
      </c>
      <c r="AI85" s="6" t="str">
        <f>VLOOKUP(H85,PortConfigOptions!$B$1:$R$89,11,FALSE)</f>
        <v>TRUE, FALSE</v>
      </c>
      <c r="AJ85" s="6" t="str">
        <f>VLOOKUP(H85,PortConfigOptions!$B$1:$R$89,12,FALSE)</f>
        <v>TRUE, FALSE</v>
      </c>
      <c r="AK85" s="6" t="str">
        <f>VLOOKUP(H85,PortConfigOptions!$B$1:$R$89,13,FALSE)</f>
        <v>OpenDrain_PushPull, OpenDrain_N_Channel, OpenDrain_P_Channel</v>
      </c>
      <c r="AL85" s="6" t="str">
        <f>VLOOKUP(H85,PortConfigOptions!$B$1:$R$89,14,FALSE)</f>
        <v>TRUE, FALSE</v>
      </c>
      <c r="AM85" s="6" t="str">
        <f>VLOOKUP(H85,PortConfigOptions!$B$1:$R$89,15,FALSE)</f>
        <v>SLOW, FAST, MIDDLE_0, MIDDLE_1</v>
      </c>
      <c r="AN85" s="6" t="str">
        <f>VLOOKUP(H85,PortConfigOptions!$B$1:$R$89,16,FALSE)</f>
        <v>SLOW, FAST, MIDDLE</v>
      </c>
      <c r="AO85" s="6">
        <f>VLOOKUP(H85,PortConfigOptions!$B$1:$R$89,17,FALSE)</f>
        <v>0</v>
      </c>
      <c r="AV85" s="6" t="s">
        <v>76</v>
      </c>
    </row>
    <row r="86" spans="1:48" x14ac:dyDescent="0.25">
      <c r="A86" s="6">
        <v>61</v>
      </c>
      <c r="B86" s="7">
        <v>72</v>
      </c>
      <c r="D86" s="7" t="s">
        <v>121</v>
      </c>
      <c r="E86" s="7" t="s">
        <v>396</v>
      </c>
      <c r="F86" s="7" t="s">
        <v>243</v>
      </c>
      <c r="G86" s="7" t="s">
        <v>122</v>
      </c>
      <c r="H86" s="6" t="s">
        <v>322</v>
      </c>
      <c r="I86" s="6" t="b">
        <v>0</v>
      </c>
      <c r="J86" s="6" t="b">
        <v>0</v>
      </c>
      <c r="K86" s="6" t="b">
        <v>0</v>
      </c>
      <c r="L86" s="7" t="s">
        <v>699</v>
      </c>
      <c r="M86" s="7" t="s">
        <v>708</v>
      </c>
      <c r="N86" s="7" t="s">
        <v>734</v>
      </c>
      <c r="O86" s="7" t="b">
        <v>0</v>
      </c>
      <c r="P86" s="7" t="b">
        <v>0</v>
      </c>
      <c r="Q86" s="7" t="b">
        <v>0</v>
      </c>
      <c r="R86" s="7" t="b">
        <v>0</v>
      </c>
      <c r="S86" s="7" t="b">
        <v>0</v>
      </c>
      <c r="T86" s="7" t="s">
        <v>737</v>
      </c>
      <c r="U86" s="7" t="b">
        <v>0</v>
      </c>
      <c r="V86" s="6" t="s">
        <v>762</v>
      </c>
      <c r="W86" s="6" t="s">
        <v>762</v>
      </c>
      <c r="X86" s="19" t="s">
        <v>6</v>
      </c>
      <c r="Z86" s="6" t="str">
        <f>VLOOKUP(H86,PortConfigOptions!$B$1:$R$89,2,FALSE)</f>
        <v>TRUE, FALSE</v>
      </c>
      <c r="AA86" s="6" t="str">
        <f>VLOOKUP(H86,PortConfigOptions!$B$1:$R$89,3,FALSE)</f>
        <v>TRUE, FALSE</v>
      </c>
      <c r="AB86" s="6" t="str">
        <f>VLOOKUP(H86,PortConfigOptions!$B$1:$R$89,4,FALSE)</f>
        <v>TRUE, FALSE</v>
      </c>
      <c r="AC86" s="6" t="str">
        <f>VLOOKUP(H86,PortConfigOptions!$B$1:$R$89,5,FALSE)</f>
        <v>PORT_PIN_LEVEL_LOW, PORT_PIN_LEVEL_HIGH</v>
      </c>
      <c r="AD86" s="6" t="str">
        <f>VLOOKUP(H86,PortConfigOptions!$B$1:$R$89,6,FALSE)</f>
        <v>TAUJ0I3_ALT1_IN, TAUJ0O3_ALT1_OUT, SENT4SPCO_ALT2_OUT, ADCD0CNV4_ALT4_OUT, RLIN31TX_ALT6_OUT, DIO</v>
      </c>
      <c r="AE86" s="6" t="str">
        <f>VLOOKUP(H86,PortConfigOptions!$B$1:$R$89,7,FALSE)</f>
        <v>PORT_PIN_OUT, PORT_PIN_IN</v>
      </c>
      <c r="AF86" s="6" t="str">
        <f>VLOOKUP(H86,PortConfigOptions!$B$1:$R$89,8,FALSE)</f>
        <v>TRUE, FALSE</v>
      </c>
      <c r="AG86" s="6" t="str">
        <f>VLOOKUP(H86,PortConfigOptions!$B$1:$R$89,9,FALSE)</f>
        <v>TRUE, FALSE</v>
      </c>
      <c r="AH86" s="6" t="str">
        <f>VLOOKUP(H86,PortConfigOptions!$B$1:$R$89,10,FALSE)</f>
        <v>TRUE, FALSE</v>
      </c>
      <c r="AI86" s="6" t="str">
        <f>VLOOKUP(H86,PortConfigOptions!$B$1:$R$89,11,FALSE)</f>
        <v>TRUE, FALSE</v>
      </c>
      <c r="AJ86" s="6" t="str">
        <f>VLOOKUP(H86,PortConfigOptions!$B$1:$R$89,12,FALSE)</f>
        <v>TRUE, FALSE</v>
      </c>
      <c r="AK86" s="6" t="str">
        <f>VLOOKUP(H86,PortConfigOptions!$B$1:$R$89,13,FALSE)</f>
        <v>OpenDrain_PushPull, OpenDrain_N_Channel, OpenDrain_P_Channel</v>
      </c>
      <c r="AL86" s="6" t="str">
        <f>VLOOKUP(H86,PortConfigOptions!$B$1:$R$89,14,FALSE)</f>
        <v>TRUE, FALSE</v>
      </c>
      <c r="AM86" s="6" t="str">
        <f>VLOOKUP(H86,PortConfigOptions!$B$1:$R$89,15,FALSE)</f>
        <v>SLOW, FAST, MIDDLE_0, MIDDLE_1</v>
      </c>
      <c r="AN86" s="6" t="str">
        <f>VLOOKUP(H86,PortConfigOptions!$B$1:$R$89,16,FALSE)</f>
        <v>SLOW, FAST, MIDDLE</v>
      </c>
      <c r="AO86" s="6">
        <f>VLOOKUP(H86,PortConfigOptions!$B$1:$R$89,17,FALSE)</f>
        <v>0</v>
      </c>
      <c r="AV86" s="6" t="s">
        <v>123</v>
      </c>
    </row>
    <row r="87" spans="1:48" x14ac:dyDescent="0.25">
      <c r="A87" s="6">
        <v>45</v>
      </c>
      <c r="B87" s="7">
        <v>140</v>
      </c>
      <c r="C87" s="12" t="s">
        <v>383</v>
      </c>
      <c r="D87" s="7" t="s">
        <v>77</v>
      </c>
      <c r="E87" s="7" t="s">
        <v>371</v>
      </c>
      <c r="F87" s="7" t="s">
        <v>240</v>
      </c>
      <c r="G87" s="7" t="s">
        <v>78</v>
      </c>
      <c r="H87" s="6" t="s">
        <v>308</v>
      </c>
      <c r="I87" s="6" t="b">
        <v>0</v>
      </c>
      <c r="J87" s="6" t="b">
        <v>0</v>
      </c>
      <c r="K87" s="7" t="b">
        <v>1</v>
      </c>
      <c r="L87" s="7" t="s">
        <v>699</v>
      </c>
      <c r="M87" s="7" t="s">
        <v>732</v>
      </c>
      <c r="N87" s="7" t="s">
        <v>735</v>
      </c>
      <c r="O87" s="7" t="b">
        <v>0</v>
      </c>
      <c r="P87" s="7" t="b">
        <v>0</v>
      </c>
      <c r="Q87" s="7" t="b">
        <v>0</v>
      </c>
      <c r="R87" s="7" t="b">
        <v>0</v>
      </c>
      <c r="S87" s="7" t="b">
        <v>0</v>
      </c>
      <c r="T87" s="7" t="s">
        <v>736</v>
      </c>
      <c r="U87" s="7" t="b">
        <v>0</v>
      </c>
      <c r="V87" s="6" t="s">
        <v>762</v>
      </c>
      <c r="W87" s="6" t="s">
        <v>762</v>
      </c>
      <c r="X87" s="19" t="s">
        <v>6</v>
      </c>
      <c r="Z87" s="6" t="str">
        <f>VLOOKUP(H87,PortConfigOptions!$B$1:$R$89,2,FALSE)</f>
        <v>TRUE, FALSE</v>
      </c>
      <c r="AA87" s="6" t="str">
        <f>VLOOKUP(H87,PortConfigOptions!$B$1:$R$89,3,FALSE)</f>
        <v>TRUE, FALSE</v>
      </c>
      <c r="AB87" s="6" t="str">
        <f>VLOOKUP(H87,PortConfigOptions!$B$1:$R$89,4,FALSE)</f>
        <v>TRUE, FALSE</v>
      </c>
      <c r="AC87" s="6" t="str">
        <f>VLOOKUP(H87,PortConfigOptions!$B$1:$R$89,5,FALSE)</f>
        <v>PORT_PIN_LEVEL_LOW, PORT_PIN_LEVEL_HIGH</v>
      </c>
      <c r="AD87" s="6" t="str">
        <f>VLOOKUP(H87,PortConfigOptions!$B$1:$R$89,6,FALSE)</f>
        <v>CSIH1RYO_ALT1_OUT, TSG31ODI5_ALT2_IN, TSG31O5_ALT2_OUT, INTP6_ALT3_IN, RSCAN0RX1_ALT3_IN, SCI30TX_ALT4_OUT, TAUD1I8_ALT5_IN, CSIH0CSS0_ALT5_OUT, TAUD0ODI13_ALT6_IN, TAUD0O13_ALT6_OUT, DIO</v>
      </c>
      <c r="AE87" s="6" t="str">
        <f>VLOOKUP(H87,PortConfigOptions!$B$1:$R$89,7,FALSE)</f>
        <v>PORT_PIN_OUT, PORT_PIN_IN</v>
      </c>
      <c r="AF87" s="6" t="str">
        <f>VLOOKUP(H87,PortConfigOptions!$B$1:$R$89,8,FALSE)</f>
        <v>TRUE, FALSE</v>
      </c>
      <c r="AG87" s="6" t="str">
        <f>VLOOKUP(H87,PortConfigOptions!$B$1:$R$89,9,FALSE)</f>
        <v>TRUE, FALSE</v>
      </c>
      <c r="AH87" s="6" t="str">
        <f>VLOOKUP(H87,PortConfigOptions!$B$1:$R$89,10,FALSE)</f>
        <v>TRUE, FALSE</v>
      </c>
      <c r="AI87" s="6" t="str">
        <f>VLOOKUP(H87,PortConfigOptions!$B$1:$R$89,11,FALSE)</f>
        <v>TRUE, FALSE</v>
      </c>
      <c r="AJ87" s="6" t="str">
        <f>VLOOKUP(H87,PortConfigOptions!$B$1:$R$89,12,FALSE)</f>
        <v>TRUE, FALSE</v>
      </c>
      <c r="AK87" s="6" t="str">
        <f>VLOOKUP(H87,PortConfigOptions!$B$1:$R$89,13,FALSE)</f>
        <v>OpenDrain_PushPull, OpenDrain_N_Channel, OpenDrain_P_Channel</v>
      </c>
      <c r="AL87" s="6" t="str">
        <f>VLOOKUP(H87,PortConfigOptions!$B$1:$R$89,14,FALSE)</f>
        <v>TRUE, FALSE</v>
      </c>
      <c r="AM87" s="6" t="str">
        <f>VLOOKUP(H87,PortConfigOptions!$B$1:$R$89,15,FALSE)</f>
        <v>SLOW, FAST, MIDDLE_0, MIDDLE_1</v>
      </c>
      <c r="AN87" s="6" t="str">
        <f>VLOOKUP(H87,PortConfigOptions!$B$1:$R$89,16,FALSE)</f>
        <v>SLOW, FAST, MIDDLE</v>
      </c>
      <c r="AO87" s="6">
        <f>VLOOKUP(H87,PortConfigOptions!$B$1:$R$89,17,FALSE)</f>
        <v>0</v>
      </c>
      <c r="AV87" s="6" t="s">
        <v>79</v>
      </c>
    </row>
    <row r="88" spans="1:48" x14ac:dyDescent="0.25">
      <c r="A88" s="6">
        <v>46</v>
      </c>
      <c r="B88" s="7">
        <v>141</v>
      </c>
      <c r="C88" s="12" t="s">
        <v>383</v>
      </c>
      <c r="D88" s="7" t="s">
        <v>80</v>
      </c>
      <c r="E88" s="7" t="s">
        <v>370</v>
      </c>
      <c r="F88" s="7" t="s">
        <v>240</v>
      </c>
      <c r="G88" s="7" t="s">
        <v>81</v>
      </c>
      <c r="H88" s="6" t="s">
        <v>309</v>
      </c>
      <c r="I88" s="6" t="b">
        <v>0</v>
      </c>
      <c r="J88" s="6" t="b">
        <v>0</v>
      </c>
      <c r="K88" s="7" t="b">
        <v>1</v>
      </c>
      <c r="L88" s="7" t="s">
        <v>699</v>
      </c>
      <c r="M88" s="7" t="s">
        <v>733</v>
      </c>
      <c r="N88" s="7" t="s">
        <v>735</v>
      </c>
      <c r="O88" s="7" t="b">
        <v>0</v>
      </c>
      <c r="P88" s="7" t="b">
        <v>0</v>
      </c>
      <c r="Q88" s="7" t="b">
        <v>0</v>
      </c>
      <c r="R88" s="7" t="b">
        <v>0</v>
      </c>
      <c r="S88" s="7" t="b">
        <v>0</v>
      </c>
      <c r="T88" s="7" t="s">
        <v>736</v>
      </c>
      <c r="U88" s="7" t="b">
        <v>0</v>
      </c>
      <c r="V88" s="6" t="s">
        <v>762</v>
      </c>
      <c r="W88" s="6" t="s">
        <v>762</v>
      </c>
      <c r="X88" s="19" t="s">
        <v>6</v>
      </c>
      <c r="Z88" s="6" t="str">
        <f>VLOOKUP(H88,PortConfigOptions!$B$1:$R$89,2,FALSE)</f>
        <v>TRUE, FALSE</v>
      </c>
      <c r="AA88" s="6" t="str">
        <f>VLOOKUP(H88,PortConfigOptions!$B$1:$R$89,3,FALSE)</f>
        <v>TRUE, FALSE</v>
      </c>
      <c r="AB88" s="6" t="str">
        <f>VLOOKUP(H88,PortConfigOptions!$B$1:$R$89,4,FALSE)</f>
        <v>TRUE, FALSE</v>
      </c>
      <c r="AC88" s="6" t="str">
        <f>VLOOKUP(H88,PortConfigOptions!$B$1:$R$89,5,FALSE)</f>
        <v>PORT_PIN_LEVEL_LOW, PORT_PIN_LEVEL_HIGH</v>
      </c>
      <c r="AD88" s="6" t="str">
        <f>VLOOKUP(H88,PortConfigOptions!$B$1:$R$89,6,FALSE)</f>
        <v>CSIH1RYI_ALT1_IN, TSG31ODI6_ALT2_IN, TSG31O6_ALT2_OUT, RSCAN0TX1_ALT3_OUT, SCI30SCI_ALT4_IN, SCI30SCO_ALT4_OUT, TAUD1I10_ALT5_IN, CSIH0CSS1_ALT5_OUT, TAUD0ODI15_ALT6_IN, TAUD0O15_ALT6_OUT, DIO</v>
      </c>
      <c r="AE88" s="6" t="str">
        <f>VLOOKUP(H88,PortConfigOptions!$B$1:$R$89,7,FALSE)</f>
        <v>PORT_PIN_OUT, PORT_PIN_IN</v>
      </c>
      <c r="AF88" s="6" t="str">
        <f>VLOOKUP(H88,PortConfigOptions!$B$1:$R$89,8,FALSE)</f>
        <v>TRUE, FALSE</v>
      </c>
      <c r="AG88" s="6" t="str">
        <f>VLOOKUP(H88,PortConfigOptions!$B$1:$R$89,9,FALSE)</f>
        <v>TRUE, FALSE</v>
      </c>
      <c r="AH88" s="6" t="str">
        <f>VLOOKUP(H88,PortConfigOptions!$B$1:$R$89,10,FALSE)</f>
        <v>TRUE, FALSE</v>
      </c>
      <c r="AI88" s="6" t="str">
        <f>VLOOKUP(H88,PortConfigOptions!$B$1:$R$89,11,FALSE)</f>
        <v>TRUE, FALSE</v>
      </c>
      <c r="AJ88" s="6" t="str">
        <f>VLOOKUP(H88,PortConfigOptions!$B$1:$R$89,12,FALSE)</f>
        <v>TRUE, FALSE</v>
      </c>
      <c r="AK88" s="6" t="str">
        <f>VLOOKUP(H88,PortConfigOptions!$B$1:$R$89,13,FALSE)</f>
        <v>OpenDrain_PushPull, OpenDrain_N_Channel, OpenDrain_P_Channel</v>
      </c>
      <c r="AL88" s="6" t="str">
        <f>VLOOKUP(H88,PortConfigOptions!$B$1:$R$89,14,FALSE)</f>
        <v>TRUE, FALSE</v>
      </c>
      <c r="AM88" s="6" t="str">
        <f>VLOOKUP(H88,PortConfigOptions!$B$1:$R$89,15,FALSE)</f>
        <v>SLOW, FAST, MIDDLE_0, MIDDLE_1</v>
      </c>
      <c r="AN88" s="6" t="str">
        <f>VLOOKUP(H88,PortConfigOptions!$B$1:$R$89,16,FALSE)</f>
        <v>SLOW, FAST, MIDDLE</v>
      </c>
      <c r="AO88" s="6">
        <f>VLOOKUP(H88,PortConfigOptions!$B$1:$R$89,17,FALSE)</f>
        <v>0</v>
      </c>
      <c r="AV88" s="6" t="s">
        <v>82</v>
      </c>
    </row>
    <row r="89" spans="1:48" x14ac:dyDescent="0.25">
      <c r="A89" s="6">
        <v>103</v>
      </c>
      <c r="B89" s="7">
        <v>1</v>
      </c>
      <c r="D89" s="7" t="s">
        <v>374</v>
      </c>
      <c r="E89" s="7" t="s">
        <v>466</v>
      </c>
      <c r="F89" s="7" t="s">
        <v>253</v>
      </c>
      <c r="G89" s="7" t="s">
        <v>177</v>
      </c>
      <c r="H89" s="6" t="s">
        <v>336</v>
      </c>
      <c r="I89" s="6" t="b">
        <v>0</v>
      </c>
      <c r="J89" s="6" t="b">
        <v>0</v>
      </c>
      <c r="K89" s="6" t="b">
        <v>0</v>
      </c>
      <c r="L89" s="7" t="s">
        <v>699</v>
      </c>
      <c r="M89" s="7" t="s">
        <v>700</v>
      </c>
      <c r="N89" s="7" t="s">
        <v>734</v>
      </c>
      <c r="O89" s="7" t="b">
        <v>0</v>
      </c>
      <c r="P89" s="7" t="b">
        <v>0</v>
      </c>
      <c r="Q89" s="7" t="b">
        <v>0</v>
      </c>
      <c r="R89" s="7" t="b">
        <v>0</v>
      </c>
      <c r="S89" s="7" t="b">
        <v>0</v>
      </c>
      <c r="T89" s="7" t="s">
        <v>737</v>
      </c>
      <c r="U89" s="7" t="b">
        <v>0</v>
      </c>
      <c r="V89" s="6" t="s">
        <v>762</v>
      </c>
      <c r="W89" s="6" t="s">
        <v>762</v>
      </c>
      <c r="X89" s="7" t="s">
        <v>748</v>
      </c>
      <c r="Z89" s="6" t="str">
        <f>VLOOKUP(H89,PortConfigOptions!$B$1:$R$89,2,FALSE)</f>
        <v>TRUE, FALSE</v>
      </c>
      <c r="AA89" s="6" t="str">
        <f>VLOOKUP(H89,PortConfigOptions!$B$1:$R$89,3,FALSE)</f>
        <v>TRUE, FALSE</v>
      </c>
      <c r="AB89" s="6" t="str">
        <f>VLOOKUP(H89,PortConfigOptions!$B$1:$R$89,4,FALSE)</f>
        <v>TRUE, FALSE</v>
      </c>
      <c r="AC89" s="6" t="str">
        <f>VLOOKUP(H89,PortConfigOptions!$B$1:$R$89,5,FALSE)</f>
        <v>PORT_PIN_LEVEL_LOW, PORT_PIN_LEVEL_HIGH</v>
      </c>
      <c r="AD89" s="6" t="str">
        <f>VLOOKUP(H89,PortConfigOptions!$B$1:$R$89,6,FALSE)</f>
        <v>CSIH1SI_ALT1_IN, TAPA0ESO_ALT2_IN, INTP7_ALT2_IN, TPB1O_ALT2_OUT, EXTCLK0O_ALT3_OUT, NMI_ALT4_IN, FLX0CLK_ALT5_IN, TSG31O7_ALT6_OUT, DIO</v>
      </c>
      <c r="AE89" s="6" t="str">
        <f>VLOOKUP(H89,PortConfigOptions!$B$1:$R$89,7,FALSE)</f>
        <v>PORT_PIN_OUT, PORT_PIN_IN</v>
      </c>
      <c r="AF89" s="6" t="str">
        <f>VLOOKUP(H89,PortConfigOptions!$B$1:$R$89,8,FALSE)</f>
        <v>TRUE, FALSE</v>
      </c>
      <c r="AG89" s="6" t="str">
        <f>VLOOKUP(H89,PortConfigOptions!$B$1:$R$89,9,FALSE)</f>
        <v>TRUE, FALSE</v>
      </c>
      <c r="AH89" s="6" t="str">
        <f>VLOOKUP(H89,PortConfigOptions!$B$1:$R$89,10,FALSE)</f>
        <v>TRUE, FALSE</v>
      </c>
      <c r="AI89" s="6" t="str">
        <f>VLOOKUP(H89,PortConfigOptions!$B$1:$R$89,11,FALSE)</f>
        <v>TRUE, FALSE</v>
      </c>
      <c r="AJ89" s="6" t="str">
        <f>VLOOKUP(H89,PortConfigOptions!$B$1:$R$89,12,FALSE)</f>
        <v>TRUE, FALSE</v>
      </c>
      <c r="AK89" s="6" t="str">
        <f>VLOOKUP(H89,PortConfigOptions!$B$1:$R$89,13,FALSE)</f>
        <v>OpenDrain_PushPull, OpenDrain_N_Channel, OpenDrain_P_Channel</v>
      </c>
      <c r="AL89" s="6" t="str">
        <f>VLOOKUP(H89,PortConfigOptions!$B$1:$R$89,14,FALSE)</f>
        <v>TRUE, FALSE</v>
      </c>
      <c r="AM89" s="6" t="str">
        <f>VLOOKUP(H89,PortConfigOptions!$B$1:$R$89,15,FALSE)</f>
        <v>SLOW, FAST, MIDDLE_0, MIDDLE_1</v>
      </c>
      <c r="AN89" s="6" t="str">
        <f>VLOOKUP(H89,PortConfigOptions!$B$1:$R$89,16,FALSE)</f>
        <v>SLOW, FAST, MIDDLE</v>
      </c>
      <c r="AO89" s="6" t="str">
        <f>VLOOKUP(H89,PortConfigOptions!$B$1:$R$89,17,FALSE)</f>
        <v>TYPE_1_SUPP_PISA, TYPE_2_SUPP_PISA</v>
      </c>
      <c r="AV89" s="6" t="s">
        <v>178</v>
      </c>
    </row>
    <row r="90" spans="1:48" x14ac:dyDescent="0.25">
      <c r="A90" s="6">
        <v>52</v>
      </c>
      <c r="B90" s="7">
        <v>129</v>
      </c>
      <c r="D90" s="7" t="s">
        <v>98</v>
      </c>
      <c r="E90" s="11" t="s">
        <v>479</v>
      </c>
      <c r="F90" s="7" t="s">
        <v>242</v>
      </c>
      <c r="G90" s="7" t="s">
        <v>99</v>
      </c>
      <c r="H90" s="6" t="s">
        <v>315</v>
      </c>
      <c r="I90" s="6" t="b">
        <v>0</v>
      </c>
      <c r="J90" s="6" t="b">
        <v>0</v>
      </c>
      <c r="K90" s="6" t="b">
        <v>0</v>
      </c>
      <c r="L90" s="7" t="s">
        <v>699</v>
      </c>
      <c r="M90" s="7" t="s">
        <v>726</v>
      </c>
      <c r="N90" s="7" t="s">
        <v>734</v>
      </c>
      <c r="O90" s="7" t="b">
        <v>0</v>
      </c>
      <c r="P90" s="7" t="b">
        <v>0</v>
      </c>
      <c r="Q90" s="7" t="b">
        <v>0</v>
      </c>
      <c r="R90" s="7" t="b">
        <v>0</v>
      </c>
      <c r="S90" s="7" t="b">
        <v>0</v>
      </c>
      <c r="T90" s="7" t="s">
        <v>737</v>
      </c>
      <c r="U90" s="7" t="b">
        <v>0</v>
      </c>
      <c r="V90" s="6" t="s">
        <v>762</v>
      </c>
      <c r="W90" s="6" t="s">
        <v>762</v>
      </c>
      <c r="X90" s="19" t="s">
        <v>6</v>
      </c>
      <c r="Z90" s="6" t="str">
        <f>VLOOKUP(H90,PortConfigOptions!$B$1:$R$89,2,FALSE)</f>
        <v>TRUE, FALSE</v>
      </c>
      <c r="AA90" s="6" t="str">
        <f>VLOOKUP(H90,PortConfigOptions!$B$1:$R$89,3,FALSE)</f>
        <v>TRUE, FALSE</v>
      </c>
      <c r="AB90" s="6" t="str">
        <f>VLOOKUP(H90,PortConfigOptions!$B$1:$R$89,4,FALSE)</f>
        <v>TRUE, FALSE</v>
      </c>
      <c r="AC90" s="6" t="str">
        <f>VLOOKUP(H90,PortConfigOptions!$B$1:$R$89,5,FALSE)</f>
        <v>PORT_PIN_LEVEL_LOW, PORT_PIN_LEVEL_HIGH</v>
      </c>
      <c r="AD90" s="6" t="str">
        <f>VLOOKUP(H90,PortConfigOptions!$B$1:$R$89,6,FALSE)</f>
        <v>TAUD1I14_ALT1_IN, TAUD1ODI14_ALT2_IN, TAUD1O14_ALT2_OUT, TAUD1I15_ALT3_IN, TAUD1ODI15_ALT4_IN, TAUD1O15_ALT4_OUT, CSIH0SI_ALT5_IN, CSIH0CSS7_ALT5_OUT, CSIG0SCI_ALT6_IN, CSIG0SCO_ALT6_OUT, DIO</v>
      </c>
      <c r="AE90" s="6" t="str">
        <f>VLOOKUP(H90,PortConfigOptions!$B$1:$R$89,7,FALSE)</f>
        <v>PORT_PIN_OUT, PORT_PIN_IN</v>
      </c>
      <c r="AF90" s="6" t="str">
        <f>VLOOKUP(H90,PortConfigOptions!$B$1:$R$89,8,FALSE)</f>
        <v>TRUE, FALSE</v>
      </c>
      <c r="AG90" s="6" t="str">
        <f>VLOOKUP(H90,PortConfigOptions!$B$1:$R$89,9,FALSE)</f>
        <v>TRUE, FALSE</v>
      </c>
      <c r="AH90" s="6" t="str">
        <f>VLOOKUP(H90,PortConfigOptions!$B$1:$R$89,10,FALSE)</f>
        <v>TRUE, FALSE</v>
      </c>
      <c r="AI90" s="6" t="str">
        <f>VLOOKUP(H90,PortConfigOptions!$B$1:$R$89,11,FALSE)</f>
        <v>TRUE, FALSE</v>
      </c>
      <c r="AJ90" s="6" t="str">
        <f>VLOOKUP(H90,PortConfigOptions!$B$1:$R$89,12,FALSE)</f>
        <v>TRUE, FALSE</v>
      </c>
      <c r="AK90" s="6" t="str">
        <f>VLOOKUP(H90,PortConfigOptions!$B$1:$R$89,13,FALSE)</f>
        <v>OpenDrain_PushPull, OpenDrain_N_Channel, OpenDrain_P_Channel</v>
      </c>
      <c r="AL90" s="6" t="str">
        <f>VLOOKUP(H90,PortConfigOptions!$B$1:$R$89,14,FALSE)</f>
        <v>TRUE, FALSE</v>
      </c>
      <c r="AM90" s="6" t="str">
        <f>VLOOKUP(H90,PortConfigOptions!$B$1:$R$89,15,FALSE)</f>
        <v>SLOW, FAST, MIDDLE_0, MIDDLE_1</v>
      </c>
      <c r="AN90" s="6" t="str">
        <f>VLOOKUP(H90,PortConfigOptions!$B$1:$R$89,16,FALSE)</f>
        <v>SLOW, FAST, MIDDLE</v>
      </c>
      <c r="AO90" s="6">
        <f>VLOOKUP(H90,PortConfigOptions!$B$1:$R$89,17,FALSE)</f>
        <v>0</v>
      </c>
      <c r="AV90" s="6" t="s">
        <v>100</v>
      </c>
    </row>
    <row r="91" spans="1:48" x14ac:dyDescent="0.25">
      <c r="A91" s="6">
        <v>109</v>
      </c>
      <c r="B91" s="7">
        <v>130</v>
      </c>
      <c r="D91" s="7" t="s">
        <v>380</v>
      </c>
      <c r="E91" s="7" t="s">
        <v>471</v>
      </c>
      <c r="F91" s="7" t="s">
        <v>254</v>
      </c>
      <c r="G91" s="7" t="s">
        <v>189</v>
      </c>
      <c r="H91" s="6" t="s">
        <v>342</v>
      </c>
      <c r="I91" s="6" t="b">
        <v>0</v>
      </c>
      <c r="J91" s="6" t="b">
        <v>0</v>
      </c>
      <c r="K91" s="6" t="b">
        <v>0</v>
      </c>
      <c r="L91" s="7" t="s">
        <v>699</v>
      </c>
      <c r="M91" s="7" t="s">
        <v>727</v>
      </c>
      <c r="N91" s="6" t="s">
        <v>735</v>
      </c>
      <c r="O91" s="7" t="b">
        <v>0</v>
      </c>
      <c r="P91" s="7" t="b">
        <v>0</v>
      </c>
      <c r="Q91" s="19" t="s">
        <v>6</v>
      </c>
      <c r="R91" s="7" t="b">
        <v>0</v>
      </c>
      <c r="S91" s="7" t="b">
        <v>0</v>
      </c>
      <c r="T91" s="7" t="s">
        <v>736</v>
      </c>
      <c r="U91" s="7" t="b">
        <v>0</v>
      </c>
      <c r="V91" s="6" t="s">
        <v>762</v>
      </c>
      <c r="W91" s="6" t="s">
        <v>762</v>
      </c>
      <c r="X91" s="19" t="s">
        <v>6</v>
      </c>
      <c r="Z91" s="6" t="str">
        <f>VLOOKUP(H91,PortConfigOptions!$B$1:$R$89,2,FALSE)</f>
        <v>TRUE, FALSE</v>
      </c>
      <c r="AA91" s="6" t="str">
        <f>VLOOKUP(H91,PortConfigOptions!$B$1:$R$89,3,FALSE)</f>
        <v>TRUE, FALSE</v>
      </c>
      <c r="AB91" s="6" t="str">
        <f>VLOOKUP(H91,PortConfigOptions!$B$1:$R$89,4,FALSE)</f>
        <v>TRUE, FALSE</v>
      </c>
      <c r="AC91" s="6" t="str">
        <f>VLOOKUP(H91,PortConfigOptions!$B$1:$R$89,5,FALSE)</f>
        <v>PORT_PIN_LEVEL_LOW, PORT_PIN_LEVEL_HIGH</v>
      </c>
      <c r="AD91" s="6" t="str">
        <f>VLOOKUP(H91,PortConfigOptions!$B$1:$R$89,6,FALSE)</f>
        <v>CSIH0RYI_ALT1_IN, SCI32TX_ALT1_OUT, TAUD1I0_ALT2_IN, CSIH2CSS1_ALT2_OUT, CSIH3SSIZ_ALT4_IN, CSIH3CSS4_ALT4_OUT, TAUD1ODI0_ALT5_IN, TAUD1O0_ALT5_OUT, TAUD1ODI1_ALT6_IN, TAUD1O1_ALT6_OUT, DIO</v>
      </c>
      <c r="AE91" s="6" t="str">
        <f>VLOOKUP(H91,PortConfigOptions!$B$1:$R$89,7,FALSE)</f>
        <v>PORT_PIN_OUT, PORT_PIN_IN</v>
      </c>
      <c r="AF91" s="6" t="str">
        <f>VLOOKUP(H91,PortConfigOptions!$B$1:$R$89,8,FALSE)</f>
        <v>TRUE, FALSE</v>
      </c>
      <c r="AG91" s="6" t="str">
        <f>VLOOKUP(H91,PortConfigOptions!$B$1:$R$89,9,FALSE)</f>
        <v>TRUE, FALSE</v>
      </c>
      <c r="AH91" s="6">
        <f>VLOOKUP(H91,PortConfigOptions!$B$1:$R$89,10,FALSE)</f>
        <v>0</v>
      </c>
      <c r="AI91" s="6" t="str">
        <f>VLOOKUP(H91,PortConfigOptions!$B$1:$R$89,11,FALSE)</f>
        <v>TRUE, FALSE</v>
      </c>
      <c r="AJ91" s="6" t="str">
        <f>VLOOKUP(H91,PortConfigOptions!$B$1:$R$89,12,FALSE)</f>
        <v>TRUE, FALSE</v>
      </c>
      <c r="AK91" s="6" t="str">
        <f>VLOOKUP(H91,PortConfigOptions!$B$1:$R$89,13,FALSE)</f>
        <v>OpenDrain_PushPull, OpenDrain_N_Channel, OpenDrain_P_Channel</v>
      </c>
      <c r="AL91" s="6" t="str">
        <f>VLOOKUP(H91,PortConfigOptions!$B$1:$R$89,14,FALSE)</f>
        <v>TRUE, FALSE</v>
      </c>
      <c r="AM91" s="6" t="str">
        <f>VLOOKUP(H91,PortConfigOptions!$B$1:$R$89,15,FALSE)</f>
        <v>SLOW, FAST, MIDDLE_0, MIDDLE_1</v>
      </c>
      <c r="AN91" s="6" t="str">
        <f>VLOOKUP(H91,PortConfigOptions!$B$1:$R$89,16,FALSE)</f>
        <v>SLOW, FAST, MIDDLE</v>
      </c>
      <c r="AO91" s="6">
        <f>VLOOKUP(H91,PortConfigOptions!$B$1:$R$89,17,FALSE)</f>
        <v>0</v>
      </c>
      <c r="AV91" s="6" t="s">
        <v>190</v>
      </c>
    </row>
    <row r="92" spans="1:48" x14ac:dyDescent="0.25">
      <c r="A92" s="6">
        <v>8</v>
      </c>
      <c r="B92" s="7">
        <v>131</v>
      </c>
      <c r="D92" s="7" t="s">
        <v>6</v>
      </c>
      <c r="E92" s="7" t="s">
        <v>6</v>
      </c>
      <c r="F92" s="7" t="s">
        <v>701</v>
      </c>
      <c r="G92" s="6" t="s">
        <v>301</v>
      </c>
      <c r="H92" s="6" t="s">
        <v>301</v>
      </c>
      <c r="I92" s="6" t="b">
        <v>0</v>
      </c>
      <c r="J92" s="6" t="b">
        <v>0</v>
      </c>
      <c r="K92" s="6" t="b">
        <v>0</v>
      </c>
      <c r="L92" s="7" t="s">
        <v>699</v>
      </c>
      <c r="M92" s="7" t="s">
        <v>701</v>
      </c>
      <c r="N92" s="6" t="s">
        <v>734</v>
      </c>
      <c r="O92" s="6" t="b">
        <v>0</v>
      </c>
      <c r="P92" s="7" t="b">
        <v>0</v>
      </c>
      <c r="Q92" s="19" t="s">
        <v>6</v>
      </c>
      <c r="R92" s="7" t="b">
        <v>0</v>
      </c>
      <c r="S92" s="7" t="b">
        <v>0</v>
      </c>
      <c r="T92" s="7" t="s">
        <v>737</v>
      </c>
      <c r="U92" s="7" t="b">
        <v>0</v>
      </c>
      <c r="V92" s="6" t="s">
        <v>762</v>
      </c>
      <c r="W92" s="6" t="s">
        <v>762</v>
      </c>
      <c r="X92" s="19" t="s">
        <v>6</v>
      </c>
      <c r="Z92" s="6" t="str">
        <f>VLOOKUP(H92,PortConfigOptions!$B$1:$R$89,2,FALSE)</f>
        <v>TRUE, FALSE</v>
      </c>
      <c r="AA92" s="6" t="str">
        <f>VLOOKUP(H92,PortConfigOptions!$B$1:$R$89,3,FALSE)</f>
        <v>TRUE, FALSE</v>
      </c>
      <c r="AB92" s="6" t="str">
        <f>VLOOKUP(H92,PortConfigOptions!$B$1:$R$89,4,FALSE)</f>
        <v>TRUE, FALSE</v>
      </c>
      <c r="AC92" s="6" t="str">
        <f>VLOOKUP(H92,PortConfigOptions!$B$1:$R$89,5,FALSE)</f>
        <v>PORT_PIN_LEVEL_LOW, PORT_PIN_LEVEL_HIGH</v>
      </c>
      <c r="AD92" s="6" t="str">
        <f>VLOOKUP(H92,PortConfigOptions!$B$1:$R$89,6,FALSE)</f>
        <v>SCI32RX_ALT1_IN, INTP2_ALT1_IN, TAUD1I2_ALT2_IN, CSIH2CSS2_ALT2_OUT, RLIN30RX_ALT3_IN, INTP3_ALT3_IN, CSIG0RYO_ALT3_OUT, CSIH3CSS3_ALT4_OUT, TAUD1ODI2_ALT5_IN, TAUD1O2_ALT5_OUT, TAUD1ODI3_ALT6_IN, TAUD1O3_ALT6_OUT, DIO</v>
      </c>
      <c r="AE92" s="6" t="str">
        <f>VLOOKUP(H92,PortConfigOptions!$B$1:$R$89,7,FALSE)</f>
        <v>PORT_PIN_OUT, PORT_PIN_IN</v>
      </c>
      <c r="AF92" s="6" t="str">
        <f>VLOOKUP(H92,PortConfigOptions!$B$1:$R$89,8,FALSE)</f>
        <v>TRUE, FALSE</v>
      </c>
      <c r="AG92" s="6" t="str">
        <f>VLOOKUP(H92,PortConfigOptions!$B$1:$R$89,9,FALSE)</f>
        <v>TRUE, FALSE</v>
      </c>
      <c r="AH92" s="6">
        <f>VLOOKUP(H92,PortConfigOptions!$B$1:$R$89,10,FALSE)</f>
        <v>0</v>
      </c>
      <c r="AI92" s="6" t="str">
        <f>VLOOKUP(H92,PortConfigOptions!$B$1:$R$89,11,FALSE)</f>
        <v>TRUE, FALSE</v>
      </c>
      <c r="AJ92" s="6" t="str">
        <f>VLOOKUP(H92,PortConfigOptions!$B$1:$R$89,12,FALSE)</f>
        <v>TRUE, FALSE</v>
      </c>
      <c r="AK92" s="6" t="str">
        <f>VLOOKUP(H92,PortConfigOptions!$B$1:$R$89,13,FALSE)</f>
        <v>OpenDrain_PushPull, OpenDrain_N_Channel, OpenDrain_P_Channel</v>
      </c>
      <c r="AL92" s="6" t="str">
        <f>VLOOKUP(H92,PortConfigOptions!$B$1:$R$89,14,FALSE)</f>
        <v>TRUE, FALSE</v>
      </c>
      <c r="AM92" s="6" t="str">
        <f>VLOOKUP(H92,PortConfigOptions!$B$1:$R$89,15,FALSE)</f>
        <v>SLOW, FAST, MIDDLE_0, MIDDLE_1</v>
      </c>
      <c r="AN92" s="6" t="str">
        <f>VLOOKUP(H92,PortConfigOptions!$B$1:$R$89,16,FALSE)</f>
        <v>SLOW, FAST, MIDDLE</v>
      </c>
      <c r="AO92" s="6">
        <f>VLOOKUP(H92,PortConfigOptions!$B$1:$R$89,17,FALSE)</f>
        <v>0</v>
      </c>
      <c r="AV92" s="6" t="s">
        <v>18</v>
      </c>
    </row>
    <row r="93" spans="1:48" x14ac:dyDescent="0.25">
      <c r="A93" s="6">
        <v>55</v>
      </c>
      <c r="B93" s="7">
        <v>132</v>
      </c>
      <c r="C93" s="7" t="s">
        <v>387</v>
      </c>
      <c r="D93" s="7" t="s">
        <v>107</v>
      </c>
      <c r="E93" s="7" t="s">
        <v>385</v>
      </c>
      <c r="F93" s="7" t="s">
        <v>701</v>
      </c>
      <c r="G93" s="7" t="s">
        <v>108</v>
      </c>
      <c r="H93" s="6" t="s">
        <v>108</v>
      </c>
      <c r="I93" s="6" t="b">
        <v>0</v>
      </c>
      <c r="J93" s="6" t="b">
        <v>0</v>
      </c>
      <c r="K93" s="6" t="b">
        <v>0</v>
      </c>
      <c r="L93" s="7" t="s">
        <v>699</v>
      </c>
      <c r="M93" s="7" t="s">
        <v>701</v>
      </c>
      <c r="N93" s="6" t="s">
        <v>735</v>
      </c>
      <c r="O93" s="7" t="b">
        <v>0</v>
      </c>
      <c r="P93" s="7" t="b">
        <v>0</v>
      </c>
      <c r="Q93" s="19" t="s">
        <v>6</v>
      </c>
      <c r="R93" s="19" t="s">
        <v>6</v>
      </c>
      <c r="S93" s="7" t="b">
        <v>0</v>
      </c>
      <c r="T93" s="7" t="s">
        <v>736</v>
      </c>
      <c r="U93" s="7" t="b">
        <v>0</v>
      </c>
      <c r="V93" s="6" t="s">
        <v>762</v>
      </c>
      <c r="W93" s="6" t="s">
        <v>762</v>
      </c>
      <c r="X93" s="19" t="s">
        <v>6</v>
      </c>
      <c r="Z93" s="6" t="str">
        <f>VLOOKUP(H93,PortConfigOptions!$B$1:$R$89,2,FALSE)</f>
        <v>TRUE, FALSE</v>
      </c>
      <c r="AA93" s="6" t="str">
        <f>VLOOKUP(H93,PortConfigOptions!$B$1:$R$89,3,FALSE)</f>
        <v>TRUE, FALSE</v>
      </c>
      <c r="AB93" s="6" t="str">
        <f>VLOOKUP(H93,PortConfigOptions!$B$1:$R$89,4,FALSE)</f>
        <v>TRUE, FALSE</v>
      </c>
      <c r="AC93" s="6" t="str">
        <f>VLOOKUP(H93,PortConfigOptions!$B$1:$R$89,5,FALSE)</f>
        <v>PORT_PIN_LEVEL_LOW, PORT_PIN_LEVEL_HIGH</v>
      </c>
      <c r="AD93" s="6" t="str">
        <f>VLOOKUP(H93,PortConfigOptions!$B$1:$R$89,6,FALSE)</f>
        <v>SCI31SCI_ALT1_IN, SCI31SCO_ALT1_OUT, TAUD0I0_ALT2_IN, CSIH2CSS3_ALT2_OUT, CSIG0RYI_ALT3_IN, RLIN30TX_ALT3_OUT, CSIH3CSS2_ALT4_OUT, TAUD0ODI0_ALT5_IN, TAUD0O0_ALT5_OUT, TAUD0ODI1_ALT6_IN, TAUD0O1_ALT6_OUT, DIO</v>
      </c>
      <c r="AE93" s="6" t="str">
        <f>VLOOKUP(H93,PortConfigOptions!$B$1:$R$89,7,FALSE)</f>
        <v>PORT_PIN_OUT, PORT_PIN_IN</v>
      </c>
      <c r="AF93" s="6" t="str">
        <f>VLOOKUP(H93,PortConfigOptions!$B$1:$R$89,8,FALSE)</f>
        <v>TRUE, FALSE</v>
      </c>
      <c r="AG93" s="6" t="str">
        <f>VLOOKUP(H93,PortConfigOptions!$B$1:$R$89,9,FALSE)</f>
        <v>TRUE, FALSE</v>
      </c>
      <c r="AH93" s="6">
        <f>VLOOKUP(H93,PortConfigOptions!$B$1:$R$89,10,FALSE)</f>
        <v>0</v>
      </c>
      <c r="AI93" s="6">
        <f>VLOOKUP(H93,PortConfigOptions!$B$1:$R$89,11,FALSE)</f>
        <v>0</v>
      </c>
      <c r="AJ93" s="6" t="str">
        <f>VLOOKUP(H93,PortConfigOptions!$B$1:$R$89,12,FALSE)</f>
        <v>TRUE, FALSE</v>
      </c>
      <c r="AK93" s="6" t="str">
        <f>VLOOKUP(H93,PortConfigOptions!$B$1:$R$89,13,FALSE)</f>
        <v>OpenDrain_PushPull, OpenDrain_N_Channel, OpenDrain_P_Channel</v>
      </c>
      <c r="AL93" s="6" t="str">
        <f>VLOOKUP(H93,PortConfigOptions!$B$1:$R$89,14,FALSE)</f>
        <v>TRUE, FALSE</v>
      </c>
      <c r="AM93" s="6" t="str">
        <f>VLOOKUP(H93,PortConfigOptions!$B$1:$R$89,15,FALSE)</f>
        <v>SLOW, FAST, MIDDLE_0, MIDDLE_1</v>
      </c>
      <c r="AN93" s="6" t="str">
        <f>VLOOKUP(H93,PortConfigOptions!$B$1:$R$89,16,FALSE)</f>
        <v>SLOW, FAST, MIDDLE</v>
      </c>
      <c r="AO93" s="6">
        <f>VLOOKUP(H93,PortConfigOptions!$B$1:$R$89,17,FALSE)</f>
        <v>0</v>
      </c>
      <c r="AV93" s="6" t="s">
        <v>109</v>
      </c>
    </row>
    <row r="94" spans="1:48" x14ac:dyDescent="0.25">
      <c r="A94" s="6">
        <v>71</v>
      </c>
      <c r="B94" s="7">
        <v>135</v>
      </c>
      <c r="D94" s="7" t="s">
        <v>393</v>
      </c>
      <c r="E94" s="20" t="s">
        <v>392</v>
      </c>
      <c r="F94" s="7" t="s">
        <v>701</v>
      </c>
      <c r="G94" s="7" t="s">
        <v>150</v>
      </c>
      <c r="H94" s="6" t="s">
        <v>150</v>
      </c>
      <c r="I94" s="6" t="b">
        <v>0</v>
      </c>
      <c r="J94" s="6" t="b">
        <v>0</v>
      </c>
      <c r="K94" s="6" t="b">
        <v>0</v>
      </c>
      <c r="L94" s="7" t="s">
        <v>699</v>
      </c>
      <c r="M94" s="7" t="s">
        <v>701</v>
      </c>
      <c r="N94" s="6" t="s">
        <v>734</v>
      </c>
      <c r="O94" s="7" t="b">
        <v>1</v>
      </c>
      <c r="P94" s="7" t="b">
        <v>0</v>
      </c>
      <c r="Q94" s="19" t="s">
        <v>6</v>
      </c>
      <c r="R94" s="7" t="b">
        <v>0</v>
      </c>
      <c r="S94" s="7" t="b">
        <v>0</v>
      </c>
      <c r="T94" s="7" t="s">
        <v>737</v>
      </c>
      <c r="U94" s="7" t="b">
        <v>0</v>
      </c>
      <c r="V94" s="6" t="s">
        <v>762</v>
      </c>
      <c r="W94" s="6" t="s">
        <v>762</v>
      </c>
      <c r="X94" s="19" t="s">
        <v>6</v>
      </c>
      <c r="Z94" s="6" t="str">
        <f>VLOOKUP(H94,PortConfigOptions!$B$1:$R$89,2,FALSE)</f>
        <v>TRUE, FALSE</v>
      </c>
      <c r="AA94" s="6" t="str">
        <f>VLOOKUP(H94,PortConfigOptions!$B$1:$R$89,3,FALSE)</f>
        <v>TRUE, FALSE</v>
      </c>
      <c r="AB94" s="6" t="str">
        <f>VLOOKUP(H94,PortConfigOptions!$B$1:$R$89,4,FALSE)</f>
        <v>TRUE, FALSE</v>
      </c>
      <c r="AC94" s="6" t="str">
        <f>VLOOKUP(H94,PortConfigOptions!$B$1:$R$89,5,FALSE)</f>
        <v>PORT_PIN_LEVEL_LOW, PORT_PIN_LEVEL_HIGH</v>
      </c>
      <c r="AD94" s="6" t="str">
        <f>VLOOKUP(H94,PortConfigOptions!$B$1:$R$89,6,FALSE)</f>
        <v>CSIH0SI_ALT1_IN, TSG31O0_ALT2_OUT, TAUD0ODI2_ALT4_IN, TAUD0O2_ALT4_OUT, CSIH3RYI_ALT5_IN, CSIH2CSS4_ALT5_OUT, TAUD0ODI3_ALT6_IN, TAUD0O3_ALT6_OUT, DIO</v>
      </c>
      <c r="AE94" s="6" t="str">
        <f>VLOOKUP(H94,PortConfigOptions!$B$1:$R$89,7,FALSE)</f>
        <v>PORT_PIN_OUT, PORT_PIN_IN</v>
      </c>
      <c r="AF94" s="6" t="str">
        <f>VLOOKUP(H94,PortConfigOptions!$B$1:$R$89,8,FALSE)</f>
        <v>TRUE, FALSE</v>
      </c>
      <c r="AG94" s="6" t="str">
        <f>VLOOKUP(H94,PortConfigOptions!$B$1:$R$89,9,FALSE)</f>
        <v>TRUE, FALSE</v>
      </c>
      <c r="AH94" s="6">
        <f>VLOOKUP(H94,PortConfigOptions!$B$1:$R$89,10,FALSE)</f>
        <v>0</v>
      </c>
      <c r="AI94" s="6" t="str">
        <f>VLOOKUP(H94,PortConfigOptions!$B$1:$R$89,11,FALSE)</f>
        <v>TRUE, FALSE</v>
      </c>
      <c r="AJ94" s="6" t="str">
        <f>VLOOKUP(H94,PortConfigOptions!$B$1:$R$89,12,FALSE)</f>
        <v>TRUE, FALSE</v>
      </c>
      <c r="AK94" s="6" t="str">
        <f>VLOOKUP(H94,PortConfigOptions!$B$1:$R$89,13,FALSE)</f>
        <v>OpenDrain_PushPull, OpenDrain_N_Channel, OpenDrain_P_Channel</v>
      </c>
      <c r="AL94" s="6" t="str">
        <f>VLOOKUP(H94,PortConfigOptions!$B$1:$R$89,14,FALSE)</f>
        <v>TRUE, FALSE</v>
      </c>
      <c r="AM94" s="6" t="str">
        <f>VLOOKUP(H94,PortConfigOptions!$B$1:$R$89,15,FALSE)</f>
        <v>SLOW, FAST, MIDDLE_0, MIDDLE_1</v>
      </c>
      <c r="AN94" s="6" t="str">
        <f>VLOOKUP(H94,PortConfigOptions!$B$1:$R$89,16,FALSE)</f>
        <v>SLOW, FAST, MIDDLE</v>
      </c>
      <c r="AO94" s="6">
        <f>VLOOKUP(H94,PortConfigOptions!$B$1:$R$89,17,FALSE)</f>
        <v>0</v>
      </c>
      <c r="AR94" s="20"/>
      <c r="AV94" s="6" t="s">
        <v>151</v>
      </c>
    </row>
    <row r="95" spans="1:48" x14ac:dyDescent="0.25">
      <c r="A95" s="6">
        <v>41</v>
      </c>
      <c r="B95" s="7">
        <v>136</v>
      </c>
      <c r="C95" s="12" t="s">
        <v>383</v>
      </c>
      <c r="D95" s="7" t="s">
        <v>65</v>
      </c>
      <c r="E95" s="7" t="s">
        <v>367</v>
      </c>
      <c r="F95" s="7" t="s">
        <v>240</v>
      </c>
      <c r="G95" s="7" t="s">
        <v>66</v>
      </c>
      <c r="H95" s="6" t="s">
        <v>304</v>
      </c>
      <c r="I95" s="6" t="b">
        <v>0</v>
      </c>
      <c r="J95" s="6" t="b">
        <v>0</v>
      </c>
      <c r="K95" s="7" t="b">
        <v>1</v>
      </c>
      <c r="L95" s="7" t="s">
        <v>699</v>
      </c>
      <c r="M95" s="7" t="s">
        <v>728</v>
      </c>
      <c r="N95" s="7" t="s">
        <v>735</v>
      </c>
      <c r="O95" s="7" t="b">
        <v>0</v>
      </c>
      <c r="P95" s="7" t="b">
        <v>0</v>
      </c>
      <c r="Q95" s="7" t="b">
        <v>0</v>
      </c>
      <c r="R95" s="7" t="b">
        <v>0</v>
      </c>
      <c r="S95" s="7" t="b">
        <v>0</v>
      </c>
      <c r="T95" s="7" t="s">
        <v>736</v>
      </c>
      <c r="U95" s="7" t="b">
        <v>0</v>
      </c>
      <c r="V95" s="6" t="s">
        <v>762</v>
      </c>
      <c r="W95" s="6" t="s">
        <v>762</v>
      </c>
      <c r="X95" s="19" t="s">
        <v>6</v>
      </c>
      <c r="Z95" s="6" t="str">
        <f>VLOOKUP(H95,PortConfigOptions!$B$1:$R$89,2,FALSE)</f>
        <v>TRUE, FALSE</v>
      </c>
      <c r="AA95" s="6" t="str">
        <f>VLOOKUP(H95,PortConfigOptions!$B$1:$R$89,3,FALSE)</f>
        <v>TRUE, FALSE</v>
      </c>
      <c r="AB95" s="6" t="str">
        <f>VLOOKUP(H95,PortConfigOptions!$B$1:$R$89,4,FALSE)</f>
        <v>TRUE, FALSE</v>
      </c>
      <c r="AC95" s="6" t="str">
        <f>VLOOKUP(H95,PortConfigOptions!$B$1:$R$89,5,FALSE)</f>
        <v>PORT_PIN_LEVEL_LOW, PORT_PIN_LEVEL_HIGH</v>
      </c>
      <c r="AD95" s="6" t="str">
        <f>VLOOKUP(H95,PortConfigOptions!$B$1:$R$89,6,FALSE)</f>
        <v>CSIH0DCS_ALT1_IN, CSIH0SO_ALT1_OUT, TSG31ODI1_ALT2_IN, TSG31O1_ALT2_OUT, RSCAN0RX0_ALT3_IN, INTP5_ALT3_IN, SCI30RX_ALT4_IN, INTP0_ALT4_IN, CSIH2RYI_ALT5_IN, CSIH2CSS5_ALT5_OUT, TAUD0ODI5_ALT6_IN, TAUD0O5_ALT6_OUT, DIO</v>
      </c>
      <c r="AE95" s="6" t="str">
        <f>VLOOKUP(H95,PortConfigOptions!$B$1:$R$89,7,FALSE)</f>
        <v>PORT_PIN_OUT, PORT_PIN_IN</v>
      </c>
      <c r="AF95" s="6" t="str">
        <f>VLOOKUP(H95,PortConfigOptions!$B$1:$R$89,8,FALSE)</f>
        <v>TRUE, FALSE</v>
      </c>
      <c r="AG95" s="6" t="str">
        <f>VLOOKUP(H95,PortConfigOptions!$B$1:$R$89,9,FALSE)</f>
        <v>TRUE, FALSE</v>
      </c>
      <c r="AH95" s="6" t="str">
        <f>VLOOKUP(H95,PortConfigOptions!$B$1:$R$89,10,FALSE)</f>
        <v>TRUE, FALSE</v>
      </c>
      <c r="AI95" s="6" t="str">
        <f>VLOOKUP(H95,PortConfigOptions!$B$1:$R$89,11,FALSE)</f>
        <v>TRUE, FALSE</v>
      </c>
      <c r="AJ95" s="6" t="str">
        <f>VLOOKUP(H95,PortConfigOptions!$B$1:$R$89,12,FALSE)</f>
        <v>TRUE, FALSE</v>
      </c>
      <c r="AK95" s="6" t="str">
        <f>VLOOKUP(H95,PortConfigOptions!$B$1:$R$89,13,FALSE)</f>
        <v>OpenDrain_PushPull, OpenDrain_N_Channel, OpenDrain_P_Channel</v>
      </c>
      <c r="AL95" s="6" t="str">
        <f>VLOOKUP(H95,PortConfigOptions!$B$1:$R$89,14,FALSE)</f>
        <v>TRUE, FALSE</v>
      </c>
      <c r="AM95" s="6" t="str">
        <f>VLOOKUP(H95,PortConfigOptions!$B$1:$R$89,15,FALSE)</f>
        <v>SLOW, FAST, MIDDLE_0, MIDDLE_1</v>
      </c>
      <c r="AN95" s="6" t="str">
        <f>VLOOKUP(H95,PortConfigOptions!$B$1:$R$89,16,FALSE)</f>
        <v>SLOW, FAST, MIDDLE</v>
      </c>
      <c r="AO95" s="6">
        <f>VLOOKUP(H95,PortConfigOptions!$B$1:$R$89,17,FALSE)</f>
        <v>0</v>
      </c>
      <c r="AV95" s="6" t="s">
        <v>67</v>
      </c>
    </row>
    <row r="96" spans="1:48" x14ac:dyDescent="0.25">
      <c r="A96" s="6">
        <v>42</v>
      </c>
      <c r="B96" s="7">
        <v>137</v>
      </c>
      <c r="C96" s="12" t="s">
        <v>383</v>
      </c>
      <c r="D96" s="7" t="s">
        <v>68</v>
      </c>
      <c r="E96" s="7" t="s">
        <v>365</v>
      </c>
      <c r="F96" s="7" t="s">
        <v>240</v>
      </c>
      <c r="G96" s="7" t="s">
        <v>69</v>
      </c>
      <c r="H96" s="6" t="s">
        <v>305</v>
      </c>
      <c r="I96" s="6" t="b">
        <v>0</v>
      </c>
      <c r="J96" s="6" t="b">
        <v>0</v>
      </c>
      <c r="K96" s="7" t="b">
        <v>1</v>
      </c>
      <c r="L96" s="7" t="s">
        <v>699</v>
      </c>
      <c r="M96" s="7" t="s">
        <v>729</v>
      </c>
      <c r="N96" s="7" t="s">
        <v>735</v>
      </c>
      <c r="O96" s="7" t="b">
        <v>0</v>
      </c>
      <c r="P96" s="7" t="b">
        <v>0</v>
      </c>
      <c r="Q96" s="7" t="b">
        <v>0</v>
      </c>
      <c r="R96" s="7" t="b">
        <v>0</v>
      </c>
      <c r="S96" s="7" t="b">
        <v>0</v>
      </c>
      <c r="T96" s="7" t="s">
        <v>736</v>
      </c>
      <c r="U96" s="7" t="b">
        <v>0</v>
      </c>
      <c r="V96" s="6" t="s">
        <v>762</v>
      </c>
      <c r="W96" s="6" t="s">
        <v>762</v>
      </c>
      <c r="X96" s="19" t="s">
        <v>6</v>
      </c>
      <c r="Z96" s="6" t="str">
        <f>VLOOKUP(H96,PortConfigOptions!$B$1:$R$89,2,FALSE)</f>
        <v>TRUE, FALSE</v>
      </c>
      <c r="AA96" s="6" t="str">
        <f>VLOOKUP(H96,PortConfigOptions!$B$1:$R$89,3,FALSE)</f>
        <v>TRUE, FALSE</v>
      </c>
      <c r="AB96" s="6" t="str">
        <f>VLOOKUP(H96,PortConfigOptions!$B$1:$R$89,4,FALSE)</f>
        <v>TRUE, FALSE</v>
      </c>
      <c r="AC96" s="6" t="str">
        <f>VLOOKUP(H96,PortConfigOptions!$B$1:$R$89,5,FALSE)</f>
        <v>PORT_PIN_LEVEL_LOW, PORT_PIN_LEVEL_HIGH</v>
      </c>
      <c r="AD96" s="6" t="str">
        <f>VLOOKUP(H96,PortConfigOptions!$B$1:$R$89,6,FALSE)</f>
        <v>CSIH0SCI_ALT1_IN, CSIH0SCO_ALT1_OUT, TSG31ODI2_ALT2_IN, TSG31O2_ALT2_OUT, RSCAN0TX0_ALT3_OUT, TPB1O_ALT4_OUT, CSIH0SSIZ_ALT5_IN, CSIH2CSS6_ALT5_OUT, TAUD0ODI7_ALT6_IN, TAUD0O7_ALT6_OUT, DIO</v>
      </c>
      <c r="AE96" s="6" t="str">
        <f>VLOOKUP(H96,PortConfigOptions!$B$1:$R$89,7,FALSE)</f>
        <v>PORT_PIN_OUT, PORT_PIN_IN</v>
      </c>
      <c r="AF96" s="6" t="str">
        <f>VLOOKUP(H96,PortConfigOptions!$B$1:$R$89,8,FALSE)</f>
        <v>TRUE, FALSE</v>
      </c>
      <c r="AG96" s="6" t="str">
        <f>VLOOKUP(H96,PortConfigOptions!$B$1:$R$89,9,FALSE)</f>
        <v>TRUE, FALSE</v>
      </c>
      <c r="AH96" s="6" t="str">
        <f>VLOOKUP(H96,PortConfigOptions!$B$1:$R$89,10,FALSE)</f>
        <v>TRUE, FALSE</v>
      </c>
      <c r="AI96" s="6" t="str">
        <f>VLOOKUP(H96,PortConfigOptions!$B$1:$R$89,11,FALSE)</f>
        <v>TRUE, FALSE</v>
      </c>
      <c r="AJ96" s="6" t="str">
        <f>VLOOKUP(H96,PortConfigOptions!$B$1:$R$89,12,FALSE)</f>
        <v>TRUE, FALSE</v>
      </c>
      <c r="AK96" s="6" t="str">
        <f>VLOOKUP(H96,PortConfigOptions!$B$1:$R$89,13,FALSE)</f>
        <v>OpenDrain_PushPull, OpenDrain_N_Channel, OpenDrain_P_Channel</v>
      </c>
      <c r="AL96" s="6" t="str">
        <f>VLOOKUP(H96,PortConfigOptions!$B$1:$R$89,14,FALSE)</f>
        <v>TRUE, FALSE</v>
      </c>
      <c r="AM96" s="6" t="str">
        <f>VLOOKUP(H96,PortConfigOptions!$B$1:$R$89,15,FALSE)</f>
        <v>SLOW, FAST, MIDDLE_0, MIDDLE_1</v>
      </c>
      <c r="AN96" s="6" t="str">
        <f>VLOOKUP(H96,PortConfigOptions!$B$1:$R$89,16,FALSE)</f>
        <v>SLOW, FAST, MIDDLE</v>
      </c>
      <c r="AO96" s="6">
        <f>VLOOKUP(H96,PortConfigOptions!$B$1:$R$89,17,FALSE)</f>
        <v>0</v>
      </c>
      <c r="AV96" s="6" t="s">
        <v>70</v>
      </c>
    </row>
    <row r="97" spans="1:48" x14ac:dyDescent="0.25">
      <c r="A97" s="6">
        <v>43</v>
      </c>
      <c r="B97" s="7">
        <v>138</v>
      </c>
      <c r="C97" s="12" t="s">
        <v>383</v>
      </c>
      <c r="D97" s="7" t="s">
        <v>71</v>
      </c>
      <c r="E97" s="7" t="s">
        <v>369</v>
      </c>
      <c r="F97" s="7" t="s">
        <v>240</v>
      </c>
      <c r="G97" s="7" t="s">
        <v>72</v>
      </c>
      <c r="H97" s="6" t="s">
        <v>306</v>
      </c>
      <c r="I97" s="6" t="b">
        <v>0</v>
      </c>
      <c r="J97" s="6" t="b">
        <v>0</v>
      </c>
      <c r="K97" s="7" t="b">
        <v>1</v>
      </c>
      <c r="L97" s="7" t="s">
        <v>699</v>
      </c>
      <c r="M97" s="7" t="s">
        <v>730</v>
      </c>
      <c r="N97" s="7" t="s">
        <v>735</v>
      </c>
      <c r="O97" s="7" t="b">
        <v>0</v>
      </c>
      <c r="P97" s="7" t="b">
        <v>0</v>
      </c>
      <c r="Q97" s="7" t="b">
        <v>0</v>
      </c>
      <c r="R97" s="7" t="b">
        <v>0</v>
      </c>
      <c r="S97" s="7" t="b">
        <v>0</v>
      </c>
      <c r="T97" s="7" t="s">
        <v>736</v>
      </c>
      <c r="U97" s="7" t="b">
        <v>0</v>
      </c>
      <c r="V97" s="6" t="s">
        <v>762</v>
      </c>
      <c r="W97" s="6" t="s">
        <v>762</v>
      </c>
      <c r="X97" s="19" t="s">
        <v>6</v>
      </c>
      <c r="Z97" s="6" t="str">
        <f>VLOOKUP(H97,PortConfigOptions!$B$1:$R$89,2,FALSE)</f>
        <v>TRUE, FALSE</v>
      </c>
      <c r="AA97" s="6" t="str">
        <f>VLOOKUP(H97,PortConfigOptions!$B$1:$R$89,3,FALSE)</f>
        <v>TRUE, FALSE</v>
      </c>
      <c r="AB97" s="6" t="str">
        <f>VLOOKUP(H97,PortConfigOptions!$B$1:$R$89,4,FALSE)</f>
        <v>TRUE, FALSE</v>
      </c>
      <c r="AC97" s="6" t="str">
        <f>VLOOKUP(H97,PortConfigOptions!$B$1:$R$89,5,FALSE)</f>
        <v>PORT_PIN_LEVEL_LOW, PORT_PIN_LEVEL_HIGH</v>
      </c>
      <c r="AD97" s="6" t="str">
        <f>VLOOKUP(H97,PortConfigOptions!$B$1:$R$89,6,FALSE)</f>
        <v>SCI32SCI_ALT1_IN, SCI32SCO_ALT1_OUT, TSG31ODI3_ALT2_IN, TSG31O3_ALT2_OUT, CSIH3CSS5_ALT4_OUT, CSIH0RYI_ALT5_IN, CSIH2CSS7_ALT5_OUT, TAUD0ODI9_ALT6_IN, TAUD0O9_ALT6_OUT, DIO</v>
      </c>
      <c r="AE97" s="6" t="str">
        <f>VLOOKUP(H97,PortConfigOptions!$B$1:$R$89,7,FALSE)</f>
        <v>PORT_PIN_OUT, PORT_PIN_IN</v>
      </c>
      <c r="AF97" s="6" t="str">
        <f>VLOOKUP(H97,PortConfigOptions!$B$1:$R$89,8,FALSE)</f>
        <v>TRUE, FALSE</v>
      </c>
      <c r="AG97" s="6" t="str">
        <f>VLOOKUP(H97,PortConfigOptions!$B$1:$R$89,9,FALSE)</f>
        <v>TRUE, FALSE</v>
      </c>
      <c r="AH97" s="6" t="str">
        <f>VLOOKUP(H97,PortConfigOptions!$B$1:$R$89,10,FALSE)</f>
        <v>TRUE, FALSE</v>
      </c>
      <c r="AI97" s="6" t="str">
        <f>VLOOKUP(H97,PortConfigOptions!$B$1:$R$89,11,FALSE)</f>
        <v>TRUE, FALSE</v>
      </c>
      <c r="AJ97" s="6" t="str">
        <f>VLOOKUP(H97,PortConfigOptions!$B$1:$R$89,12,FALSE)</f>
        <v>TRUE, FALSE</v>
      </c>
      <c r="AK97" s="6" t="str">
        <f>VLOOKUP(H97,PortConfigOptions!$B$1:$R$89,13,FALSE)</f>
        <v>OpenDrain_PushPull, OpenDrain_N_Channel, OpenDrain_P_Channel</v>
      </c>
      <c r="AL97" s="6" t="str">
        <f>VLOOKUP(H97,PortConfigOptions!$B$1:$R$89,14,FALSE)</f>
        <v>TRUE, FALSE</v>
      </c>
      <c r="AM97" s="6" t="str">
        <f>VLOOKUP(H97,PortConfigOptions!$B$1:$R$89,15,FALSE)</f>
        <v>SLOW, FAST, MIDDLE_0, MIDDLE_1</v>
      </c>
      <c r="AN97" s="6" t="str">
        <f>VLOOKUP(H97,PortConfigOptions!$B$1:$R$89,16,FALSE)</f>
        <v>SLOW, FAST, MIDDLE</v>
      </c>
      <c r="AO97" s="6">
        <f>VLOOKUP(H97,PortConfigOptions!$B$1:$R$89,17,FALSE)</f>
        <v>0</v>
      </c>
      <c r="AV97" s="6" t="s">
        <v>73</v>
      </c>
    </row>
    <row r="98" spans="1:48" x14ac:dyDescent="0.25">
      <c r="A98" s="6">
        <v>110</v>
      </c>
      <c r="B98" s="7">
        <v>2</v>
      </c>
      <c r="D98" s="7" t="s">
        <v>6</v>
      </c>
      <c r="E98" s="7" t="s">
        <v>6</v>
      </c>
      <c r="F98" s="7" t="s">
        <v>701</v>
      </c>
      <c r="G98" s="6" t="s">
        <v>343</v>
      </c>
      <c r="H98" s="6" t="s">
        <v>343</v>
      </c>
      <c r="I98" s="6" t="b">
        <v>0</v>
      </c>
      <c r="J98" s="6" t="b">
        <v>0</v>
      </c>
      <c r="K98" s="6" t="b">
        <v>0</v>
      </c>
      <c r="L98" s="7" t="s">
        <v>699</v>
      </c>
      <c r="M98" s="7" t="s">
        <v>701</v>
      </c>
      <c r="N98" s="6" t="s">
        <v>734</v>
      </c>
      <c r="O98" s="6" t="b">
        <v>0</v>
      </c>
      <c r="P98" s="7" t="b">
        <v>0</v>
      </c>
      <c r="Q98" s="7" t="b">
        <v>0</v>
      </c>
      <c r="R98" s="7" t="b">
        <v>0</v>
      </c>
      <c r="S98" s="7" t="b">
        <v>0</v>
      </c>
      <c r="T98" s="7" t="s">
        <v>737</v>
      </c>
      <c r="U98" s="7" t="b">
        <v>0</v>
      </c>
      <c r="V98" s="6" t="s">
        <v>762</v>
      </c>
      <c r="W98" s="6" t="s">
        <v>762</v>
      </c>
      <c r="X98" s="7" t="s">
        <v>748</v>
      </c>
      <c r="Z98" s="6" t="str">
        <f>VLOOKUP(H98,PortConfigOptions!$B$1:$R$89,2,FALSE)</f>
        <v>TRUE, FALSE</v>
      </c>
      <c r="AA98" s="6" t="str">
        <f>VLOOKUP(H98,PortConfigOptions!$B$1:$R$89,3,FALSE)</f>
        <v>TRUE, FALSE</v>
      </c>
      <c r="AB98" s="6" t="str">
        <f>VLOOKUP(H98,PortConfigOptions!$B$1:$R$89,4,FALSE)</f>
        <v>TRUE, FALSE</v>
      </c>
      <c r="AC98" s="6" t="str">
        <f>VLOOKUP(H98,PortConfigOptions!$B$1:$R$89,5,FALSE)</f>
        <v>PORT_PIN_LEVEL_LOW, PORT_PIN_LEVEL_HIGH</v>
      </c>
      <c r="AD98" s="6" t="str">
        <f>VLOOKUP(H98,PortConfigOptions!$B$1:$R$89,6,FALSE)</f>
        <v>CSIH1DCS_ALT1_IN, CSIH1SO_ALT1_OUT, TAUJ0I0_ALT2_IN, TAUJ0O0_ALT2_OUT, RLIN30RX_ALT3_IN, INTP3_ALT3_IN, TSG30PTSI0_ALT4_IN, ENCA0E0_ALT4_IN, FLX0TXDA_ALT5_OUT, ADCD1CNV0_ALT6_OUT, DIO</v>
      </c>
      <c r="AE98" s="6" t="str">
        <f>VLOOKUP(H98,PortConfigOptions!$B$1:$R$89,7,FALSE)</f>
        <v>PORT_PIN_OUT, PORT_PIN_IN</v>
      </c>
      <c r="AF98" s="6" t="str">
        <f>VLOOKUP(H98,PortConfigOptions!$B$1:$R$89,8,FALSE)</f>
        <v>TRUE, FALSE</v>
      </c>
      <c r="AG98" s="6" t="str">
        <f>VLOOKUP(H98,PortConfigOptions!$B$1:$R$89,9,FALSE)</f>
        <v>TRUE, FALSE</v>
      </c>
      <c r="AH98" s="6" t="str">
        <f>VLOOKUP(H98,PortConfigOptions!$B$1:$R$89,10,FALSE)</f>
        <v>TRUE, FALSE</v>
      </c>
      <c r="AI98" s="6" t="str">
        <f>VLOOKUP(H98,PortConfigOptions!$B$1:$R$89,11,FALSE)</f>
        <v>TRUE, FALSE</v>
      </c>
      <c r="AJ98" s="6" t="str">
        <f>VLOOKUP(H98,PortConfigOptions!$B$1:$R$89,12,FALSE)</f>
        <v>TRUE, FALSE</v>
      </c>
      <c r="AK98" s="6" t="str">
        <f>VLOOKUP(H98,PortConfigOptions!$B$1:$R$89,13,FALSE)</f>
        <v>OpenDrain_PushPull, OpenDrain_N_Channel, OpenDrain_P_Channel</v>
      </c>
      <c r="AL98" s="6" t="str">
        <f>VLOOKUP(H98,PortConfigOptions!$B$1:$R$89,14,FALSE)</f>
        <v>TRUE, FALSE</v>
      </c>
      <c r="AM98" s="6" t="str">
        <f>VLOOKUP(H98,PortConfigOptions!$B$1:$R$89,15,FALSE)</f>
        <v>SLOW, FAST, MIDDLE_0, MIDDLE_1</v>
      </c>
      <c r="AN98" s="6" t="str">
        <f>VLOOKUP(H98,PortConfigOptions!$B$1:$R$89,16,FALSE)</f>
        <v>SLOW, FAST, MIDDLE</v>
      </c>
      <c r="AO98" s="6" t="str">
        <f>VLOOKUP(H98,PortConfigOptions!$B$1:$R$89,17,FALSE)</f>
        <v>TYPE_1_SUPP_PISA, TYPE_2_SUPP_PISA</v>
      </c>
      <c r="AV98" s="6" t="s">
        <v>191</v>
      </c>
    </row>
    <row r="99" spans="1:48" x14ac:dyDescent="0.25">
      <c r="A99" s="6">
        <v>111</v>
      </c>
      <c r="B99" s="7">
        <v>3</v>
      </c>
      <c r="D99" s="7" t="s">
        <v>6</v>
      </c>
      <c r="E99" s="7" t="s">
        <v>6</v>
      </c>
      <c r="F99" s="7" t="s">
        <v>701</v>
      </c>
      <c r="G99" s="6" t="s">
        <v>344</v>
      </c>
      <c r="H99" s="6" t="s">
        <v>344</v>
      </c>
      <c r="I99" s="6" t="b">
        <v>0</v>
      </c>
      <c r="J99" s="6" t="b">
        <v>0</v>
      </c>
      <c r="K99" s="6" t="b">
        <v>0</v>
      </c>
      <c r="L99" s="7" t="s">
        <v>699</v>
      </c>
      <c r="M99" s="7" t="s">
        <v>701</v>
      </c>
      <c r="N99" s="6" t="s">
        <v>734</v>
      </c>
      <c r="O99" s="6" t="b">
        <v>0</v>
      </c>
      <c r="P99" s="7" t="b">
        <v>0</v>
      </c>
      <c r="Q99" s="7" t="b">
        <v>0</v>
      </c>
      <c r="R99" s="7" t="b">
        <v>0</v>
      </c>
      <c r="S99" s="7" t="b">
        <v>0</v>
      </c>
      <c r="T99" s="7" t="s">
        <v>737</v>
      </c>
      <c r="U99" s="7" t="b">
        <v>0</v>
      </c>
      <c r="V99" s="6" t="s">
        <v>762</v>
      </c>
      <c r="W99" s="6" t="s">
        <v>762</v>
      </c>
      <c r="X99" s="7" t="s">
        <v>748</v>
      </c>
      <c r="Z99" s="6" t="str">
        <f>VLOOKUP(H99,PortConfigOptions!$B$1:$R$89,2,FALSE)</f>
        <v>TRUE, FALSE</v>
      </c>
      <c r="AA99" s="6" t="str">
        <f>VLOOKUP(H99,PortConfigOptions!$B$1:$R$89,3,FALSE)</f>
        <v>TRUE, FALSE</v>
      </c>
      <c r="AB99" s="6" t="str">
        <f>VLOOKUP(H99,PortConfigOptions!$B$1:$R$89,4,FALSE)</f>
        <v>TRUE, FALSE</v>
      </c>
      <c r="AC99" s="6" t="str">
        <f>VLOOKUP(H99,PortConfigOptions!$B$1:$R$89,5,FALSE)</f>
        <v>PORT_PIN_LEVEL_LOW, PORT_PIN_LEVEL_HIGH</v>
      </c>
      <c r="AD99" s="6" t="str">
        <f>VLOOKUP(H99,PortConfigOptions!$B$1:$R$89,6,FALSE)</f>
        <v>CSIH1SCI_ALT1_IN, CSIH1SCO_ALT1_OUT, TAUJ0I1_ALT2_IN, TAUJ0O1_ALT2_OUT, RLIN30TX_ALT3_OUT, TSG30PTSI1_ALT4_IN, ENCA0E_ALT4_IN, FLX0TXENA_ALT5_OUT, ADCD1CNV1_ALT6_OUT, DIO</v>
      </c>
      <c r="AE99" s="6" t="str">
        <f>VLOOKUP(H99,PortConfigOptions!$B$1:$R$89,7,FALSE)</f>
        <v>PORT_PIN_OUT, PORT_PIN_IN</v>
      </c>
      <c r="AF99" s="6" t="str">
        <f>VLOOKUP(H99,PortConfigOptions!$B$1:$R$89,8,FALSE)</f>
        <v>TRUE, FALSE</v>
      </c>
      <c r="AG99" s="6" t="str">
        <f>VLOOKUP(H99,PortConfigOptions!$B$1:$R$89,9,FALSE)</f>
        <v>TRUE, FALSE</v>
      </c>
      <c r="AH99" s="6" t="str">
        <f>VLOOKUP(H99,PortConfigOptions!$B$1:$R$89,10,FALSE)</f>
        <v>TRUE, FALSE</v>
      </c>
      <c r="AI99" s="6" t="str">
        <f>VLOOKUP(H99,PortConfigOptions!$B$1:$R$89,11,FALSE)</f>
        <v>TRUE, FALSE</v>
      </c>
      <c r="AJ99" s="6" t="str">
        <f>VLOOKUP(H99,PortConfigOptions!$B$1:$R$89,12,FALSE)</f>
        <v>TRUE, FALSE</v>
      </c>
      <c r="AK99" s="6" t="str">
        <f>VLOOKUP(H99,PortConfigOptions!$B$1:$R$89,13,FALSE)</f>
        <v>OpenDrain_PushPull, OpenDrain_N_Channel, OpenDrain_P_Channel</v>
      </c>
      <c r="AL99" s="6" t="str">
        <f>VLOOKUP(H99,PortConfigOptions!$B$1:$R$89,14,FALSE)</f>
        <v>TRUE, FALSE</v>
      </c>
      <c r="AM99" s="6" t="str">
        <f>VLOOKUP(H99,PortConfigOptions!$B$1:$R$89,15,FALSE)</f>
        <v>SLOW, FAST, MIDDLE_0, MIDDLE_1</v>
      </c>
      <c r="AN99" s="6" t="str">
        <f>VLOOKUP(H99,PortConfigOptions!$B$1:$R$89,16,FALSE)</f>
        <v>SLOW, FAST, MIDDLE</v>
      </c>
      <c r="AO99" s="6" t="str">
        <f>VLOOKUP(H99,PortConfigOptions!$B$1:$R$89,17,FALSE)</f>
        <v>TYPE_1_SUPP_PISA, TYPE_2_SUPP_PISA</v>
      </c>
      <c r="AV99" s="6" t="s">
        <v>192</v>
      </c>
    </row>
    <row r="100" spans="1:48" x14ac:dyDescent="0.25">
      <c r="A100" s="6">
        <v>7</v>
      </c>
      <c r="B100" s="7">
        <v>14</v>
      </c>
      <c r="D100" s="7" t="s">
        <v>6</v>
      </c>
      <c r="E100" s="7" t="s">
        <v>6</v>
      </c>
      <c r="F100" s="7" t="s">
        <v>701</v>
      </c>
      <c r="G100" s="6" t="s">
        <v>277</v>
      </c>
      <c r="H100" s="6" t="s">
        <v>277</v>
      </c>
      <c r="I100" s="6" t="b">
        <v>0</v>
      </c>
      <c r="J100" s="6" t="b">
        <v>0</v>
      </c>
      <c r="K100" s="6" t="b">
        <v>0</v>
      </c>
      <c r="L100" s="7" t="s">
        <v>699</v>
      </c>
      <c r="M100" s="7" t="s">
        <v>701</v>
      </c>
      <c r="N100" s="6" t="s">
        <v>734</v>
      </c>
      <c r="O100" s="6" t="b">
        <v>0</v>
      </c>
      <c r="P100" s="7" t="b">
        <v>0</v>
      </c>
      <c r="Q100" s="19" t="s">
        <v>6</v>
      </c>
      <c r="R100" s="7" t="b">
        <v>0</v>
      </c>
      <c r="S100" s="7" t="b">
        <v>0</v>
      </c>
      <c r="T100" s="7" t="s">
        <v>737</v>
      </c>
      <c r="U100" s="7" t="b">
        <v>0</v>
      </c>
      <c r="V100" s="6" t="s">
        <v>762</v>
      </c>
      <c r="W100" s="6" t="s">
        <v>762</v>
      </c>
      <c r="X100" s="7" t="s">
        <v>748</v>
      </c>
      <c r="Z100" s="6" t="str">
        <f>VLOOKUP(H100,PortConfigOptions!$B$1:$R$89,2,FALSE)</f>
        <v>TRUE, FALSE</v>
      </c>
      <c r="AA100" s="6" t="str">
        <f>VLOOKUP(H100,PortConfigOptions!$B$1:$R$89,3,FALSE)</f>
        <v>TRUE, FALSE</v>
      </c>
      <c r="AB100" s="6" t="str">
        <f>VLOOKUP(H100,PortConfigOptions!$B$1:$R$89,4,FALSE)</f>
        <v>TRUE, FALSE</v>
      </c>
      <c r="AC100" s="6" t="str">
        <f>VLOOKUP(H100,PortConfigOptions!$B$1:$R$89,5,FALSE)</f>
        <v>PORT_PIN_LEVEL_LOW, PORT_PIN_LEVEL_HIGH</v>
      </c>
      <c r="AD100" s="6" t="str">
        <f>VLOOKUP(H100,PortConfigOptions!$B$1:$R$89,6,FALSE)</f>
        <v>FLX0TXENA_ALT1_OUT, TAUD1O3_ALT2_OUT, ENCA1TIN1_ALT3_IN, CSIH2CSS3_ALT3_OUT, CSIH1RYO_ALT4_OUT, CSIH1CSS7_ALT5_OUT, TAUD2I7_ALT6_IN, TAUD2O7_ALT6_OUT, DIO</v>
      </c>
      <c r="AE100" s="6" t="str">
        <f>VLOOKUP(H100,PortConfigOptions!$B$1:$R$89,7,FALSE)</f>
        <v>PORT_PIN_OUT, PORT_PIN_IN</v>
      </c>
      <c r="AF100" s="6" t="str">
        <f>VLOOKUP(H100,PortConfigOptions!$B$1:$R$89,8,FALSE)</f>
        <v>TRUE, FALSE</v>
      </c>
      <c r="AG100" s="6" t="str">
        <f>VLOOKUP(H100,PortConfigOptions!$B$1:$R$89,9,FALSE)</f>
        <v>TRUE, FALSE</v>
      </c>
      <c r="AH100" s="6">
        <f>VLOOKUP(H100,PortConfigOptions!$B$1:$R$89,10,FALSE)</f>
        <v>0</v>
      </c>
      <c r="AI100" s="6" t="str">
        <f>VLOOKUP(H100,PortConfigOptions!$B$1:$R$89,11,FALSE)</f>
        <v>TRUE, FALSE</v>
      </c>
      <c r="AJ100" s="6" t="str">
        <f>VLOOKUP(H100,PortConfigOptions!$B$1:$R$89,12,FALSE)</f>
        <v>TRUE, FALSE</v>
      </c>
      <c r="AK100" s="6" t="str">
        <f>VLOOKUP(H100,PortConfigOptions!$B$1:$R$89,13,FALSE)</f>
        <v>OpenDrain_PushPull, OpenDrain_N_Channel, OpenDrain_P_Channel</v>
      </c>
      <c r="AL100" s="6" t="str">
        <f>VLOOKUP(H100,PortConfigOptions!$B$1:$R$89,14,FALSE)</f>
        <v>TRUE, FALSE</v>
      </c>
      <c r="AM100" s="6" t="str">
        <f>VLOOKUP(H100,PortConfigOptions!$B$1:$R$89,15,FALSE)</f>
        <v>SLOW, FAST, MIDDLE_0, MIDDLE_1</v>
      </c>
      <c r="AN100" s="6" t="str">
        <f>VLOOKUP(H100,PortConfigOptions!$B$1:$R$89,16,FALSE)</f>
        <v>SLOW, FAST, MIDDLE</v>
      </c>
      <c r="AO100" s="6" t="str">
        <f>VLOOKUP(H100,PortConfigOptions!$B$1:$R$89,17,FALSE)</f>
        <v>TYPE_1_SUPP_PISA, TYPE_2_SUPP_PISA</v>
      </c>
      <c r="AS100" s="7" t="s">
        <v>270</v>
      </c>
      <c r="AT100" s="7" t="s">
        <v>296</v>
      </c>
      <c r="AU100" s="6" t="s">
        <v>271</v>
      </c>
      <c r="AV100" s="6" t="s">
        <v>17</v>
      </c>
    </row>
    <row r="101" spans="1:48" x14ac:dyDescent="0.25">
      <c r="A101" s="6">
        <v>58</v>
      </c>
      <c r="B101" s="7">
        <v>15</v>
      </c>
      <c r="D101" s="7" t="s">
        <v>504</v>
      </c>
      <c r="E101" s="7" t="s">
        <v>765</v>
      </c>
      <c r="F101" s="7" t="s">
        <v>701</v>
      </c>
      <c r="G101" s="6" t="s">
        <v>319</v>
      </c>
      <c r="H101" s="6" t="s">
        <v>319</v>
      </c>
      <c r="I101" s="6" t="b">
        <v>0</v>
      </c>
      <c r="J101" s="6" t="b">
        <v>0</v>
      </c>
      <c r="K101" s="6" t="b">
        <v>0</v>
      </c>
      <c r="L101" s="7" t="s">
        <v>699</v>
      </c>
      <c r="M101" s="7" t="s">
        <v>701</v>
      </c>
      <c r="N101" s="6" t="s">
        <v>734</v>
      </c>
      <c r="O101" s="7" t="b">
        <v>1</v>
      </c>
      <c r="P101" s="7" t="b">
        <v>0</v>
      </c>
      <c r="Q101" s="19" t="s">
        <v>6</v>
      </c>
      <c r="R101" s="7" t="b">
        <v>0</v>
      </c>
      <c r="S101" s="7" t="b">
        <v>0</v>
      </c>
      <c r="T101" s="7" t="s">
        <v>737</v>
      </c>
      <c r="U101" s="7" t="b">
        <v>0</v>
      </c>
      <c r="V101" s="6" t="s">
        <v>762</v>
      </c>
      <c r="W101" s="6" t="s">
        <v>762</v>
      </c>
      <c r="X101" s="19" t="s">
        <v>6</v>
      </c>
      <c r="Z101" s="6" t="str">
        <f>VLOOKUP(H101,PortConfigOptions!$B$1:$R$89,2,FALSE)</f>
        <v>TRUE, FALSE</v>
      </c>
      <c r="AA101" s="6" t="str">
        <f>VLOOKUP(H101,PortConfigOptions!$B$1:$R$89,3,FALSE)</f>
        <v>TRUE, FALSE</v>
      </c>
      <c r="AB101" s="6" t="str">
        <f>VLOOKUP(H101,PortConfigOptions!$B$1:$R$89,4,FALSE)</f>
        <v>TRUE, FALSE</v>
      </c>
      <c r="AC101" s="6" t="str">
        <f>VLOOKUP(H101,PortConfigOptions!$B$1:$R$89,5,FALSE)</f>
        <v>PORT_PIN_LEVEL_LOW, PORT_PIN_LEVEL_HIGH</v>
      </c>
      <c r="AD101" s="6" t="str">
        <f>VLOOKUP(H101,PortConfigOptions!$B$1:$R$89,6,FALSE)</f>
        <v>FLX0RXDB_ALT1_IN, INTP12_ALT1_IN, TAUD1O4_ALT2_OUT, CSIH2CSS4_ALT3_OUT, TAUJ1I0_ALT4_IN, TAUJ1O0_ALT4_OUT, TAUD2I8_ALT6_IN, TAUD2O8_ALT6_OUT, DIO</v>
      </c>
      <c r="AE101" s="6" t="str">
        <f>VLOOKUP(H101,PortConfigOptions!$B$1:$R$89,7,FALSE)</f>
        <v>PORT_PIN_OUT, PORT_PIN_IN</v>
      </c>
      <c r="AF101" s="6" t="str">
        <f>VLOOKUP(H101,PortConfigOptions!$B$1:$R$89,8,FALSE)</f>
        <v>TRUE, FALSE</v>
      </c>
      <c r="AG101" s="6" t="str">
        <f>VLOOKUP(H101,PortConfigOptions!$B$1:$R$89,9,FALSE)</f>
        <v>TRUE, FALSE</v>
      </c>
      <c r="AH101" s="6">
        <f>VLOOKUP(H101,PortConfigOptions!$B$1:$R$89,10,FALSE)</f>
        <v>0</v>
      </c>
      <c r="AI101" s="6" t="str">
        <f>VLOOKUP(H101,PortConfigOptions!$B$1:$R$89,11,FALSE)</f>
        <v>TRUE, FALSE</v>
      </c>
      <c r="AJ101" s="6" t="str">
        <f>VLOOKUP(H101,PortConfigOptions!$B$1:$R$89,12,FALSE)</f>
        <v>TRUE, FALSE</v>
      </c>
      <c r="AK101" s="6" t="str">
        <f>VLOOKUP(H101,PortConfigOptions!$B$1:$R$89,13,FALSE)</f>
        <v>OpenDrain_PushPull, OpenDrain_N_Channel, OpenDrain_P_Channel</v>
      </c>
      <c r="AL101" s="6" t="str">
        <f>VLOOKUP(H101,PortConfigOptions!$B$1:$R$89,14,FALSE)</f>
        <v>TRUE, FALSE</v>
      </c>
      <c r="AM101" s="6" t="str">
        <f>VLOOKUP(H101,PortConfigOptions!$B$1:$R$89,15,FALSE)</f>
        <v>SLOW, FAST, MIDDLE_0, MIDDLE_1</v>
      </c>
      <c r="AN101" s="6" t="str">
        <f>VLOOKUP(H101,PortConfigOptions!$B$1:$R$89,16,FALSE)</f>
        <v>SLOW, FAST, MIDDLE</v>
      </c>
      <c r="AO101" s="6">
        <f>VLOOKUP(H101,PortConfigOptions!$B$1:$R$89,17,FALSE)</f>
        <v>0</v>
      </c>
      <c r="AV101" s="6" t="s">
        <v>114</v>
      </c>
    </row>
    <row r="102" spans="1:48" x14ac:dyDescent="0.25">
      <c r="A102" s="6">
        <v>128</v>
      </c>
      <c r="B102" s="7">
        <v>16</v>
      </c>
      <c r="D102" s="7" t="s">
        <v>6</v>
      </c>
      <c r="E102" s="7" t="s">
        <v>6</v>
      </c>
      <c r="F102" s="7" t="s">
        <v>701</v>
      </c>
      <c r="G102" s="6" t="s">
        <v>279</v>
      </c>
      <c r="H102" s="6" t="s">
        <v>279</v>
      </c>
      <c r="I102" s="6" t="b">
        <v>0</v>
      </c>
      <c r="J102" s="6" t="b">
        <v>0</v>
      </c>
      <c r="K102" s="6" t="b">
        <v>0</v>
      </c>
      <c r="L102" s="7" t="s">
        <v>699</v>
      </c>
      <c r="M102" s="7" t="s">
        <v>701</v>
      </c>
      <c r="N102" s="6" t="s">
        <v>734</v>
      </c>
      <c r="O102" s="6" t="b">
        <v>0</v>
      </c>
      <c r="P102" s="7" t="b">
        <v>0</v>
      </c>
      <c r="Q102" s="19" t="s">
        <v>6</v>
      </c>
      <c r="R102" s="7" t="b">
        <v>0</v>
      </c>
      <c r="S102" s="7" t="b">
        <v>0</v>
      </c>
      <c r="T102" s="7" t="s">
        <v>737</v>
      </c>
      <c r="U102" s="7" t="b">
        <v>0</v>
      </c>
      <c r="V102" s="6" t="s">
        <v>762</v>
      </c>
      <c r="W102" s="6" t="s">
        <v>762</v>
      </c>
      <c r="X102" s="7" t="s">
        <v>748</v>
      </c>
      <c r="Z102" s="6" t="str">
        <f>VLOOKUP(H102,PortConfigOptions!$B$1:$R$89,2,FALSE)</f>
        <v>TRUE, FALSE</v>
      </c>
      <c r="AA102" s="6" t="str">
        <f>VLOOKUP(H102,PortConfigOptions!$B$1:$R$89,3,FALSE)</f>
        <v>TRUE, FALSE</v>
      </c>
      <c r="AB102" s="6" t="str">
        <f>VLOOKUP(H102,PortConfigOptions!$B$1:$R$89,4,FALSE)</f>
        <v>TRUE, FALSE</v>
      </c>
      <c r="AC102" s="6" t="str">
        <f>VLOOKUP(H102,PortConfigOptions!$B$1:$R$89,5,FALSE)</f>
        <v>PORT_PIN_LEVEL_LOW, PORT_PIN_LEVEL_HIGH</v>
      </c>
      <c r="AD102" s="6" t="str">
        <f>VLOOKUP(H102,PortConfigOptions!$B$1:$R$89,6,FALSE)</f>
        <v>FLX0TXDB_ALT1_OUT, TAUD1O5_ALT2_OUT, CSIH2CSS5_ALT3_OUT, TAUJ1I1_ALT4_IN, TAUJ1O1_ALT4_OUT, TAUD2I9_ALT6_IN, TAUD2O9_ALT6_OUT, DIO</v>
      </c>
      <c r="AE102" s="6" t="str">
        <f>VLOOKUP(H102,PortConfigOptions!$B$1:$R$89,7,FALSE)</f>
        <v>PORT_PIN_OUT, PORT_PIN_IN</v>
      </c>
      <c r="AF102" s="6" t="str">
        <f>VLOOKUP(H102,PortConfigOptions!$B$1:$R$89,8,FALSE)</f>
        <v>TRUE, FALSE</v>
      </c>
      <c r="AG102" s="6" t="str">
        <f>VLOOKUP(H102,PortConfigOptions!$B$1:$R$89,9,FALSE)</f>
        <v>TRUE, FALSE</v>
      </c>
      <c r="AH102" s="6">
        <f>VLOOKUP(H102,PortConfigOptions!$B$1:$R$89,10,FALSE)</f>
        <v>0</v>
      </c>
      <c r="AI102" s="6" t="str">
        <f>VLOOKUP(H102,PortConfigOptions!$B$1:$R$89,11,FALSE)</f>
        <v>TRUE, FALSE</v>
      </c>
      <c r="AJ102" s="6" t="str">
        <f>VLOOKUP(H102,PortConfigOptions!$B$1:$R$89,12,FALSE)</f>
        <v>TRUE, FALSE</v>
      </c>
      <c r="AK102" s="6" t="str">
        <f>VLOOKUP(H102,PortConfigOptions!$B$1:$R$89,13,FALSE)</f>
        <v>OpenDrain_PushPull, OpenDrain_N_Channel, OpenDrain_P_Channel</v>
      </c>
      <c r="AL102" s="6" t="str">
        <f>VLOOKUP(H102,PortConfigOptions!$B$1:$R$89,14,FALSE)</f>
        <v>TRUE, FALSE</v>
      </c>
      <c r="AM102" s="6" t="str">
        <f>VLOOKUP(H102,PortConfigOptions!$B$1:$R$89,15,FALSE)</f>
        <v>SLOW, FAST, MIDDLE_0, MIDDLE_1</v>
      </c>
      <c r="AN102" s="6" t="str">
        <f>VLOOKUP(H102,PortConfigOptions!$B$1:$R$89,16,FALSE)</f>
        <v>SLOW, FAST, MIDDLE</v>
      </c>
      <c r="AO102" s="6" t="str">
        <f>VLOOKUP(H102,PortConfigOptions!$B$1:$R$89,17,FALSE)</f>
        <v>TYPE_1_SUPP_PISA, TYPE_2_SUPP_PISA</v>
      </c>
      <c r="AS102" s="7" t="s">
        <v>270</v>
      </c>
      <c r="AT102" s="7" t="s">
        <v>296</v>
      </c>
      <c r="AU102" s="6" t="s">
        <v>271</v>
      </c>
      <c r="AV102" s="6" t="s">
        <v>223</v>
      </c>
    </row>
    <row r="103" spans="1:48" x14ac:dyDescent="0.25">
      <c r="A103" s="6">
        <v>129</v>
      </c>
      <c r="B103" s="7">
        <v>20</v>
      </c>
      <c r="D103" s="7" t="s">
        <v>6</v>
      </c>
      <c r="E103" s="7" t="s">
        <v>6</v>
      </c>
      <c r="F103" s="7" t="s">
        <v>701</v>
      </c>
      <c r="G103" s="6" t="s">
        <v>280</v>
      </c>
      <c r="H103" s="6" t="s">
        <v>280</v>
      </c>
      <c r="I103" s="6" t="b">
        <v>0</v>
      </c>
      <c r="J103" s="6" t="b">
        <v>0</v>
      </c>
      <c r="K103" s="6" t="b">
        <v>0</v>
      </c>
      <c r="L103" s="7" t="s">
        <v>699</v>
      </c>
      <c r="M103" s="7" t="s">
        <v>701</v>
      </c>
      <c r="N103" s="6" t="s">
        <v>734</v>
      </c>
      <c r="O103" s="6" t="b">
        <v>0</v>
      </c>
      <c r="P103" s="7" t="b">
        <v>0</v>
      </c>
      <c r="Q103" s="19" t="s">
        <v>6</v>
      </c>
      <c r="R103" s="7" t="b">
        <v>0</v>
      </c>
      <c r="S103" s="7" t="b">
        <v>0</v>
      </c>
      <c r="T103" s="7" t="s">
        <v>737</v>
      </c>
      <c r="U103" s="7" t="b">
        <v>0</v>
      </c>
      <c r="V103" s="6" t="s">
        <v>762</v>
      </c>
      <c r="W103" s="6" t="s">
        <v>762</v>
      </c>
      <c r="X103" s="7" t="s">
        <v>748</v>
      </c>
      <c r="Z103" s="6" t="str">
        <f>VLOOKUP(H103,PortConfigOptions!$B$1:$R$89,2,FALSE)</f>
        <v>TRUE, FALSE</v>
      </c>
      <c r="AA103" s="6" t="str">
        <f>VLOOKUP(H103,PortConfigOptions!$B$1:$R$89,3,FALSE)</f>
        <v>TRUE, FALSE</v>
      </c>
      <c r="AB103" s="6" t="str">
        <f>VLOOKUP(H103,PortConfigOptions!$B$1:$R$89,4,FALSE)</f>
        <v>TRUE, FALSE</v>
      </c>
      <c r="AC103" s="6" t="str">
        <f>VLOOKUP(H103,PortConfigOptions!$B$1:$R$89,5,FALSE)</f>
        <v>PORT_PIN_LEVEL_LOW, PORT_PIN_LEVEL_HIGH</v>
      </c>
      <c r="AD103" s="6" t="str">
        <f>VLOOKUP(H103,PortConfigOptions!$B$1:$R$89,6,FALSE)</f>
        <v>FLX0TXENB_ALT1_OUT, TAUD1O6_ALT2_OUT, CSIH2SSIZ_ALT3_IN, TAUJ1I2_ALT4_IN, TAUJ1O2_ALT4_OUT, TAUD2I10_ALT6_IN, TAUD2O10_ALT6_OUT, DIO</v>
      </c>
      <c r="AE103" s="6" t="str">
        <f>VLOOKUP(H103,PortConfigOptions!$B$1:$R$89,7,FALSE)</f>
        <v>PORT_PIN_OUT, PORT_PIN_IN</v>
      </c>
      <c r="AF103" s="6" t="str">
        <f>VLOOKUP(H103,PortConfigOptions!$B$1:$R$89,8,FALSE)</f>
        <v>TRUE, FALSE</v>
      </c>
      <c r="AG103" s="6" t="str">
        <f>VLOOKUP(H103,PortConfigOptions!$B$1:$R$89,9,FALSE)</f>
        <v>TRUE, FALSE</v>
      </c>
      <c r="AH103" s="6">
        <f>VLOOKUP(H103,PortConfigOptions!$B$1:$R$89,10,FALSE)</f>
        <v>0</v>
      </c>
      <c r="AI103" s="6" t="str">
        <f>VLOOKUP(H103,PortConfigOptions!$B$1:$R$89,11,FALSE)</f>
        <v>TRUE, FALSE</v>
      </c>
      <c r="AJ103" s="6" t="str">
        <f>VLOOKUP(H103,PortConfigOptions!$B$1:$R$89,12,FALSE)</f>
        <v>TRUE, FALSE</v>
      </c>
      <c r="AK103" s="6" t="str">
        <f>VLOOKUP(H103,PortConfigOptions!$B$1:$R$89,13,FALSE)</f>
        <v>OpenDrain_PushPull, OpenDrain_N_Channel, OpenDrain_P_Channel</v>
      </c>
      <c r="AL103" s="6" t="str">
        <f>VLOOKUP(H103,PortConfigOptions!$B$1:$R$89,14,FALSE)</f>
        <v>TRUE, FALSE</v>
      </c>
      <c r="AM103" s="6" t="str">
        <f>VLOOKUP(H103,PortConfigOptions!$B$1:$R$89,15,FALSE)</f>
        <v>SLOW, FAST, MIDDLE_0, MIDDLE_1</v>
      </c>
      <c r="AN103" s="6" t="str">
        <f>VLOOKUP(H103,PortConfigOptions!$B$1:$R$89,16,FALSE)</f>
        <v>SLOW, FAST, MIDDLE</v>
      </c>
      <c r="AO103" s="6" t="str">
        <f>VLOOKUP(H103,PortConfigOptions!$B$1:$R$89,17,FALSE)</f>
        <v>TYPE_1_SUPP_PISA, TYPE_2_SUPP_PISA</v>
      </c>
      <c r="AS103" s="7" t="s">
        <v>270</v>
      </c>
      <c r="AT103" s="7" t="s">
        <v>296</v>
      </c>
      <c r="AU103" s="6" t="s">
        <v>271</v>
      </c>
      <c r="AV103" s="6" t="s">
        <v>224</v>
      </c>
    </row>
    <row r="104" spans="1:48" x14ac:dyDescent="0.25">
      <c r="A104" s="6">
        <v>9</v>
      </c>
      <c r="B104" s="7">
        <v>21</v>
      </c>
      <c r="D104" s="7" t="s">
        <v>6</v>
      </c>
      <c r="E104" s="7" t="s">
        <v>6</v>
      </c>
      <c r="F104" s="7" t="s">
        <v>701</v>
      </c>
      <c r="G104" s="6" t="s">
        <v>302</v>
      </c>
      <c r="H104" s="6" t="s">
        <v>302</v>
      </c>
      <c r="I104" s="6" t="b">
        <v>0</v>
      </c>
      <c r="J104" s="6" t="b">
        <v>0</v>
      </c>
      <c r="K104" s="6" t="b">
        <v>0</v>
      </c>
      <c r="L104" s="7" t="s">
        <v>699</v>
      </c>
      <c r="M104" s="7" t="s">
        <v>701</v>
      </c>
      <c r="N104" s="6" t="s">
        <v>734</v>
      </c>
      <c r="O104" s="6" t="b">
        <v>0</v>
      </c>
      <c r="P104" s="7" t="b">
        <v>0</v>
      </c>
      <c r="Q104" s="19" t="s">
        <v>6</v>
      </c>
      <c r="R104" s="7" t="b">
        <v>0</v>
      </c>
      <c r="S104" s="7" t="b">
        <v>0</v>
      </c>
      <c r="T104" s="7" t="s">
        <v>737</v>
      </c>
      <c r="U104" s="7" t="b">
        <v>0</v>
      </c>
      <c r="V104" s="6" t="s">
        <v>762</v>
      </c>
      <c r="W104" s="6" t="s">
        <v>762</v>
      </c>
      <c r="X104" s="19" t="s">
        <v>6</v>
      </c>
      <c r="Z104" s="6" t="str">
        <f>VLOOKUP(H104,PortConfigOptions!$B$1:$R$89,2,FALSE)</f>
        <v>TRUE, FALSE</v>
      </c>
      <c r="AA104" s="6" t="str">
        <f>VLOOKUP(H104,PortConfigOptions!$B$1:$R$89,3,FALSE)</f>
        <v>TRUE, FALSE</v>
      </c>
      <c r="AB104" s="6" t="str">
        <f>VLOOKUP(H104,PortConfigOptions!$B$1:$R$89,4,FALSE)</f>
        <v>TRUE, FALSE</v>
      </c>
      <c r="AC104" s="6" t="str">
        <f>VLOOKUP(H104,PortConfigOptions!$B$1:$R$89,5,FALSE)</f>
        <v>PORT_PIN_LEVEL_LOW, PORT_PIN_LEVEL_HIGH</v>
      </c>
      <c r="AD104" s="6" t="str">
        <f>VLOOKUP(H104,PortConfigOptions!$B$1:$R$89,6,FALSE)</f>
        <v>FLX0STPWT_ALT1_IN, TAUD1O7_ALT2_OUT, CSIH2CSS6_ALT3_OUT, TAUJ1I3_ALT4_IN, TAUJ1O3_ALT4_OUT, TAUD2I11_ALT6_IN, TAUD2O11_ALT6_OUT, DIO</v>
      </c>
      <c r="AE104" s="6" t="str">
        <f>VLOOKUP(H104,PortConfigOptions!$B$1:$R$89,7,FALSE)</f>
        <v>PORT_PIN_OUT, PORT_PIN_IN</v>
      </c>
      <c r="AF104" s="6" t="str">
        <f>VLOOKUP(H104,PortConfigOptions!$B$1:$R$89,8,FALSE)</f>
        <v>TRUE, FALSE</v>
      </c>
      <c r="AG104" s="6" t="str">
        <f>VLOOKUP(H104,PortConfigOptions!$B$1:$R$89,9,FALSE)</f>
        <v>TRUE, FALSE</v>
      </c>
      <c r="AH104" s="6">
        <f>VLOOKUP(H104,PortConfigOptions!$B$1:$R$89,10,FALSE)</f>
        <v>0</v>
      </c>
      <c r="AI104" s="6" t="str">
        <f>VLOOKUP(H104,PortConfigOptions!$B$1:$R$89,11,FALSE)</f>
        <v>TRUE, FALSE</v>
      </c>
      <c r="AJ104" s="6" t="str">
        <f>VLOOKUP(H104,PortConfigOptions!$B$1:$R$89,12,FALSE)</f>
        <v>TRUE, FALSE</v>
      </c>
      <c r="AK104" s="6" t="str">
        <f>VLOOKUP(H104,PortConfigOptions!$B$1:$R$89,13,FALSE)</f>
        <v>OpenDrain_PushPull, OpenDrain_N_Channel, OpenDrain_P_Channel</v>
      </c>
      <c r="AL104" s="6" t="str">
        <f>VLOOKUP(H104,PortConfigOptions!$B$1:$R$89,14,FALSE)</f>
        <v>TRUE, FALSE</v>
      </c>
      <c r="AM104" s="6" t="str">
        <f>VLOOKUP(H104,PortConfigOptions!$B$1:$R$89,15,FALSE)</f>
        <v>SLOW, FAST, MIDDLE_0, MIDDLE_1</v>
      </c>
      <c r="AN104" s="6" t="str">
        <f>VLOOKUP(H104,PortConfigOptions!$B$1:$R$89,16,FALSE)</f>
        <v>SLOW, FAST, MIDDLE</v>
      </c>
      <c r="AO104" s="6">
        <f>VLOOKUP(H104,PortConfigOptions!$B$1:$R$89,17,FALSE)</f>
        <v>0</v>
      </c>
      <c r="AV104" s="6" t="s">
        <v>19</v>
      </c>
    </row>
    <row r="105" spans="1:48" x14ac:dyDescent="0.25">
      <c r="A105" s="6">
        <v>126</v>
      </c>
      <c r="B105" s="7">
        <v>4</v>
      </c>
      <c r="D105" s="7" t="s">
        <v>6</v>
      </c>
      <c r="E105" s="7" t="s">
        <v>6</v>
      </c>
      <c r="F105" s="7" t="s">
        <v>701</v>
      </c>
      <c r="G105" s="6" t="s">
        <v>278</v>
      </c>
      <c r="H105" s="6" t="s">
        <v>278</v>
      </c>
      <c r="I105" s="6" t="b">
        <v>0</v>
      </c>
      <c r="J105" s="6" t="b">
        <v>0</v>
      </c>
      <c r="K105" s="6" t="b">
        <v>0</v>
      </c>
      <c r="L105" s="7" t="s">
        <v>699</v>
      </c>
      <c r="M105" s="7" t="s">
        <v>701</v>
      </c>
      <c r="N105" s="6" t="s">
        <v>734</v>
      </c>
      <c r="O105" s="6" t="b">
        <v>0</v>
      </c>
      <c r="P105" s="7" t="b">
        <v>0</v>
      </c>
      <c r="Q105" s="7" t="b">
        <v>0</v>
      </c>
      <c r="R105" s="7" t="b">
        <v>0</v>
      </c>
      <c r="S105" s="7" t="b">
        <v>0</v>
      </c>
      <c r="T105" s="7" t="s">
        <v>737</v>
      </c>
      <c r="U105" s="7" t="b">
        <v>0</v>
      </c>
      <c r="V105" s="6" t="s">
        <v>762</v>
      </c>
      <c r="W105" s="6" t="s">
        <v>762</v>
      </c>
      <c r="X105" s="7" t="s">
        <v>748</v>
      </c>
      <c r="Z105" s="6" t="str">
        <f>VLOOKUP(H105,PortConfigOptions!$B$1:$R$89,2,FALSE)</f>
        <v>TRUE, FALSE</v>
      </c>
      <c r="AA105" s="6" t="str">
        <f>VLOOKUP(H105,PortConfigOptions!$B$1:$R$89,3,FALSE)</f>
        <v>TRUE, FALSE</v>
      </c>
      <c r="AB105" s="6" t="str">
        <f>VLOOKUP(H105,PortConfigOptions!$B$1:$R$89,4,FALSE)</f>
        <v>TRUE, FALSE</v>
      </c>
      <c r="AC105" s="6" t="str">
        <f>VLOOKUP(H105,PortConfigOptions!$B$1:$R$89,5,FALSE)</f>
        <v>PORT_PIN_LEVEL_LOW, PORT_PIN_LEVEL_HIGH</v>
      </c>
      <c r="AD105" s="6" t="str">
        <f>VLOOKUP(H105,PortConfigOptions!$B$1:$R$89,6,FALSE)</f>
        <v>RSCAN0RX1_ALT1_IN, INTP6_ALT1_IN, CSIH1RYO_ALT1_OUT, TAUJ0I2_ALT2_IN, TAUJ0O2_ALT2_OUT, SCI30SCI_ALT3_IN, SCI30SCO_ALT3_OUT, TSG30PTSI2_ALT4_IN, ENCA0E1_ALT4_IN, FLX0RXDA_ALT5_IN, INTP11_ALT5_IN, ADCD1CNV2_ALT6_OUT, DIO</v>
      </c>
      <c r="AE105" s="6" t="str">
        <f>VLOOKUP(H105,PortConfigOptions!$B$1:$R$89,7,FALSE)</f>
        <v>PORT_PIN_OUT, PORT_PIN_IN</v>
      </c>
      <c r="AF105" s="6" t="str">
        <f>VLOOKUP(H105,PortConfigOptions!$B$1:$R$89,8,FALSE)</f>
        <v>TRUE, FALSE</v>
      </c>
      <c r="AG105" s="6" t="str">
        <f>VLOOKUP(H105,PortConfigOptions!$B$1:$R$89,9,FALSE)</f>
        <v>TRUE, FALSE</v>
      </c>
      <c r="AH105" s="6" t="str">
        <f>VLOOKUP(H105,PortConfigOptions!$B$1:$R$89,10,FALSE)</f>
        <v>TRUE, FALSE</v>
      </c>
      <c r="AI105" s="6" t="str">
        <f>VLOOKUP(H105,PortConfigOptions!$B$1:$R$89,11,FALSE)</f>
        <v>TRUE, FALSE</v>
      </c>
      <c r="AJ105" s="6" t="str">
        <f>VLOOKUP(H105,PortConfigOptions!$B$1:$R$89,12,FALSE)</f>
        <v>TRUE, FALSE</v>
      </c>
      <c r="AK105" s="6" t="str">
        <f>VLOOKUP(H105,PortConfigOptions!$B$1:$R$89,13,FALSE)</f>
        <v>OpenDrain_PushPull, OpenDrain_N_Channel, OpenDrain_P_Channel</v>
      </c>
      <c r="AL105" s="6" t="str">
        <f>VLOOKUP(H105,PortConfigOptions!$B$1:$R$89,14,FALSE)</f>
        <v>TRUE, FALSE</v>
      </c>
      <c r="AM105" s="6" t="str">
        <f>VLOOKUP(H105,PortConfigOptions!$B$1:$R$89,15,FALSE)</f>
        <v>SLOW, FAST, MIDDLE_0, MIDDLE_1</v>
      </c>
      <c r="AN105" s="6" t="str">
        <f>VLOOKUP(H105,PortConfigOptions!$B$1:$R$89,16,FALSE)</f>
        <v>SLOW, FAST, MIDDLE</v>
      </c>
      <c r="AO105" s="6" t="str">
        <f>VLOOKUP(H105,PortConfigOptions!$B$1:$R$89,17,FALSE)</f>
        <v>TYPE_1_SUPP_PISA, TYPE_2_SUPP_PISA</v>
      </c>
      <c r="AS105" s="7" t="s">
        <v>270</v>
      </c>
      <c r="AT105" s="7" t="s">
        <v>296</v>
      </c>
      <c r="AU105" s="6" t="s">
        <v>271</v>
      </c>
      <c r="AV105" s="6" t="s">
        <v>221</v>
      </c>
    </row>
    <row r="106" spans="1:48" x14ac:dyDescent="0.25">
      <c r="A106" s="6">
        <v>105</v>
      </c>
      <c r="B106" s="7">
        <v>5</v>
      </c>
      <c r="D106" s="7" t="s">
        <v>376</v>
      </c>
      <c r="E106" s="7" t="s">
        <v>469</v>
      </c>
      <c r="F106" s="7" t="s">
        <v>253</v>
      </c>
      <c r="G106" s="7" t="s">
        <v>181</v>
      </c>
      <c r="H106" s="6" t="s">
        <v>338</v>
      </c>
      <c r="I106" s="6" t="b">
        <v>0</v>
      </c>
      <c r="J106" s="6" t="b">
        <v>0</v>
      </c>
      <c r="K106" s="6" t="b">
        <v>0</v>
      </c>
      <c r="L106" s="7" t="s">
        <v>699</v>
      </c>
      <c r="M106" s="7" t="s">
        <v>702</v>
      </c>
      <c r="N106" s="6" t="s">
        <v>735</v>
      </c>
      <c r="O106" s="7" t="b">
        <v>0</v>
      </c>
      <c r="P106" s="7" t="b">
        <v>0</v>
      </c>
      <c r="Q106" s="7" t="b">
        <v>0</v>
      </c>
      <c r="R106" s="7" t="b">
        <v>0</v>
      </c>
      <c r="S106" s="7" t="b">
        <v>0</v>
      </c>
      <c r="T106" s="7" t="s">
        <v>736</v>
      </c>
      <c r="U106" s="7" t="b">
        <v>0</v>
      </c>
      <c r="V106" s="6" t="s">
        <v>762</v>
      </c>
      <c r="W106" s="6" t="s">
        <v>762</v>
      </c>
      <c r="X106" s="7" t="s">
        <v>748</v>
      </c>
      <c r="Z106" s="6" t="str">
        <f>VLOOKUP(H106,PortConfigOptions!$B$1:$R$89,2,FALSE)</f>
        <v>TRUE, FALSE</v>
      </c>
      <c r="AA106" s="6" t="str">
        <f>VLOOKUP(H106,PortConfigOptions!$B$1:$R$89,3,FALSE)</f>
        <v>TRUE, FALSE</v>
      </c>
      <c r="AB106" s="6" t="str">
        <f>VLOOKUP(H106,PortConfigOptions!$B$1:$R$89,4,FALSE)</f>
        <v>TRUE, FALSE</v>
      </c>
      <c r="AC106" s="6" t="str">
        <f>VLOOKUP(H106,PortConfigOptions!$B$1:$R$89,5,FALSE)</f>
        <v>PORT_PIN_LEVEL_LOW, PORT_PIN_LEVEL_HIGH</v>
      </c>
      <c r="AD106" s="6" t="str">
        <f>VLOOKUP(H106,PortConfigOptions!$B$1:$R$89,6,FALSE)</f>
        <v>CSIH2RYI_ALT1_IN, RSCAN0TX1_ALT1_OUT, TAUJ0I3_ALT2_IN, TAUJ0O3_ALT2_OUT, OSTM1ODI_ALT3_IN, OSTM1O_ALT3_OUT, TSG30CLKI_ALT4_IN, CSIH1CSS0_ALT4_OUT, FLX0RXDB_ALT5_IN, INTP12_ALT5_IN, ADCD1CNV3_ALT5_OUT, TAUD2I0_ALT6_IN, TAUD2O0_ALT6_OUT, DIO</v>
      </c>
      <c r="AE106" s="6" t="str">
        <f>VLOOKUP(H106,PortConfigOptions!$B$1:$R$89,7,FALSE)</f>
        <v>PORT_PIN_OUT, PORT_PIN_IN</v>
      </c>
      <c r="AF106" s="6" t="str">
        <f>VLOOKUP(H106,PortConfigOptions!$B$1:$R$89,8,FALSE)</f>
        <v>TRUE, FALSE</v>
      </c>
      <c r="AG106" s="6" t="str">
        <f>VLOOKUP(H106,PortConfigOptions!$B$1:$R$89,9,FALSE)</f>
        <v>TRUE, FALSE</v>
      </c>
      <c r="AH106" s="6" t="str">
        <f>VLOOKUP(H106,PortConfigOptions!$B$1:$R$89,10,FALSE)</f>
        <v>TRUE, FALSE</v>
      </c>
      <c r="AI106" s="6" t="str">
        <f>VLOOKUP(H106,PortConfigOptions!$B$1:$R$89,11,FALSE)</f>
        <v>TRUE, FALSE</v>
      </c>
      <c r="AJ106" s="6" t="str">
        <f>VLOOKUP(H106,PortConfigOptions!$B$1:$R$89,12,FALSE)</f>
        <v>TRUE, FALSE</v>
      </c>
      <c r="AK106" s="6" t="str">
        <f>VLOOKUP(H106,PortConfigOptions!$B$1:$R$89,13,FALSE)</f>
        <v>OpenDrain_PushPull, OpenDrain_N_Channel, OpenDrain_P_Channel</v>
      </c>
      <c r="AL106" s="6" t="str">
        <f>VLOOKUP(H106,PortConfigOptions!$B$1:$R$89,14,FALSE)</f>
        <v>TRUE, FALSE</v>
      </c>
      <c r="AM106" s="6" t="str">
        <f>VLOOKUP(H106,PortConfigOptions!$B$1:$R$89,15,FALSE)</f>
        <v>SLOW, FAST, MIDDLE_0, MIDDLE_1</v>
      </c>
      <c r="AN106" s="6" t="str">
        <f>VLOOKUP(H106,PortConfigOptions!$B$1:$R$89,16,FALSE)</f>
        <v>SLOW, FAST, MIDDLE</v>
      </c>
      <c r="AO106" s="6" t="str">
        <f>VLOOKUP(H106,PortConfigOptions!$B$1:$R$89,17,FALSE)</f>
        <v>TYPE_1_SUPP_PISA, TYPE_2_SUPP_PISA</v>
      </c>
      <c r="AV106" s="6" t="s">
        <v>182</v>
      </c>
    </row>
    <row r="107" spans="1:48" x14ac:dyDescent="0.25">
      <c r="A107" s="6">
        <v>112</v>
      </c>
      <c r="B107" s="7">
        <v>6</v>
      </c>
      <c r="D107" s="7" t="s">
        <v>6</v>
      </c>
      <c r="E107" s="7" t="s">
        <v>6</v>
      </c>
      <c r="F107" s="7" t="s">
        <v>701</v>
      </c>
      <c r="G107" s="6" t="s">
        <v>345</v>
      </c>
      <c r="H107" s="6" t="s">
        <v>345</v>
      </c>
      <c r="I107" s="6" t="b">
        <v>0</v>
      </c>
      <c r="J107" s="6" t="b">
        <v>0</v>
      </c>
      <c r="K107" s="6" t="b">
        <v>0</v>
      </c>
      <c r="L107" s="7" t="s">
        <v>699</v>
      </c>
      <c r="M107" s="7" t="s">
        <v>701</v>
      </c>
      <c r="N107" s="6" t="s">
        <v>734</v>
      </c>
      <c r="O107" s="6" t="b">
        <v>0</v>
      </c>
      <c r="P107" s="7" t="b">
        <v>0</v>
      </c>
      <c r="Q107" s="7" t="b">
        <v>0</v>
      </c>
      <c r="R107" s="7" t="b">
        <v>0</v>
      </c>
      <c r="S107" s="7" t="b">
        <v>0</v>
      </c>
      <c r="T107" s="7" t="s">
        <v>737</v>
      </c>
      <c r="U107" s="7" t="b">
        <v>0</v>
      </c>
      <c r="V107" s="6" t="s">
        <v>762</v>
      </c>
      <c r="W107" s="6" t="s">
        <v>762</v>
      </c>
      <c r="X107" s="7" t="s">
        <v>748</v>
      </c>
      <c r="Z107" s="6" t="str">
        <f>VLOOKUP(H107,PortConfigOptions!$B$1:$R$89,2,FALSE)</f>
        <v>TRUE, FALSE</v>
      </c>
      <c r="AA107" s="6" t="str">
        <f>VLOOKUP(H107,PortConfigOptions!$B$1:$R$89,3,FALSE)</f>
        <v>TRUE, FALSE</v>
      </c>
      <c r="AB107" s="6" t="str">
        <f>VLOOKUP(H107,PortConfigOptions!$B$1:$R$89,4,FALSE)</f>
        <v>TRUE, FALSE</v>
      </c>
      <c r="AC107" s="6" t="str">
        <f>VLOOKUP(H107,PortConfigOptions!$B$1:$R$89,5,FALSE)</f>
        <v>PORT_PIN_LEVEL_LOW, PORT_PIN_LEVEL_HIGH</v>
      </c>
      <c r="AD107" s="6" t="str">
        <f>VLOOKUP(H107,PortConfigOptions!$B$1:$R$89,6,FALSE)</f>
        <v>CSIH2SI_ALT1_IN, TAPA1ESO_ALT2_IN, INTP8_ALT2_IN, CSIH2CSS7_ALT3_OUT, TSG31PTSI0_ALT4_IN, ENCA1E0_ALT4_IN, CSIH1CSS1_ALT4_OUT, FLX0STPWT_ALT5_IN, ADCD1CNV4_ALT5_OUT, TAUD2I1_ALT6_IN, TAUD2O1_ALT6_OUT, DIO</v>
      </c>
      <c r="AE107" s="6" t="str">
        <f>VLOOKUP(H107,PortConfigOptions!$B$1:$R$89,7,FALSE)</f>
        <v>PORT_PIN_OUT, PORT_PIN_IN</v>
      </c>
      <c r="AF107" s="6" t="str">
        <f>VLOOKUP(H107,PortConfigOptions!$B$1:$R$89,8,FALSE)</f>
        <v>TRUE, FALSE</v>
      </c>
      <c r="AG107" s="6" t="str">
        <f>VLOOKUP(H107,PortConfigOptions!$B$1:$R$89,9,FALSE)</f>
        <v>TRUE, FALSE</v>
      </c>
      <c r="AH107" s="6" t="str">
        <f>VLOOKUP(H107,PortConfigOptions!$B$1:$R$89,10,FALSE)</f>
        <v>TRUE, FALSE</v>
      </c>
      <c r="AI107" s="6" t="str">
        <f>VLOOKUP(H107,PortConfigOptions!$B$1:$R$89,11,FALSE)</f>
        <v>TRUE, FALSE</v>
      </c>
      <c r="AJ107" s="6" t="str">
        <f>VLOOKUP(H107,PortConfigOptions!$B$1:$R$89,12,FALSE)</f>
        <v>TRUE, FALSE</v>
      </c>
      <c r="AK107" s="6" t="str">
        <f>VLOOKUP(H107,PortConfigOptions!$B$1:$R$89,13,FALSE)</f>
        <v>OpenDrain_PushPull, OpenDrain_N_Channel, OpenDrain_P_Channel</v>
      </c>
      <c r="AL107" s="6" t="str">
        <f>VLOOKUP(H107,PortConfigOptions!$B$1:$R$89,14,FALSE)</f>
        <v>TRUE, FALSE</v>
      </c>
      <c r="AM107" s="6" t="str">
        <f>VLOOKUP(H107,PortConfigOptions!$B$1:$R$89,15,FALSE)</f>
        <v>SLOW, FAST, MIDDLE_0, MIDDLE_1</v>
      </c>
      <c r="AN107" s="6" t="str">
        <f>VLOOKUP(H107,PortConfigOptions!$B$1:$R$89,16,FALSE)</f>
        <v>SLOW, FAST, MIDDLE</v>
      </c>
      <c r="AO107" s="6" t="str">
        <f>VLOOKUP(H107,PortConfigOptions!$B$1:$R$89,17,FALSE)</f>
        <v>TYPE_1_SUPP_PISA, TYPE_2_SUPP_PISA</v>
      </c>
      <c r="AV107" s="6" t="s">
        <v>193</v>
      </c>
    </row>
    <row r="108" spans="1:48" x14ac:dyDescent="0.25">
      <c r="A108" s="6">
        <v>113</v>
      </c>
      <c r="B108" s="7">
        <v>7</v>
      </c>
      <c r="D108" s="7" t="s">
        <v>6</v>
      </c>
      <c r="E108" s="7" t="s">
        <v>6</v>
      </c>
      <c r="F108" s="7" t="s">
        <v>701</v>
      </c>
      <c r="G108" s="6" t="s">
        <v>346</v>
      </c>
      <c r="H108" s="6" t="s">
        <v>346</v>
      </c>
      <c r="I108" s="6" t="b">
        <v>0</v>
      </c>
      <c r="J108" s="6" t="b">
        <v>0</v>
      </c>
      <c r="K108" s="6" t="b">
        <v>0</v>
      </c>
      <c r="L108" s="7" t="s">
        <v>699</v>
      </c>
      <c r="M108" s="7" t="s">
        <v>701</v>
      </c>
      <c r="N108" s="6" t="s">
        <v>734</v>
      </c>
      <c r="O108" s="6" t="b">
        <v>0</v>
      </c>
      <c r="P108" s="7" t="b">
        <v>0</v>
      </c>
      <c r="Q108" s="7" t="b">
        <v>0</v>
      </c>
      <c r="R108" s="7" t="b">
        <v>0</v>
      </c>
      <c r="S108" s="7" t="b">
        <v>0</v>
      </c>
      <c r="T108" s="7" t="s">
        <v>737</v>
      </c>
      <c r="U108" s="7" t="b">
        <v>0</v>
      </c>
      <c r="V108" s="6" t="s">
        <v>762</v>
      </c>
      <c r="W108" s="6" t="s">
        <v>762</v>
      </c>
      <c r="X108" s="7" t="s">
        <v>748</v>
      </c>
      <c r="Z108" s="6" t="str">
        <f>VLOOKUP(H108,PortConfigOptions!$B$1:$R$89,2,FALSE)</f>
        <v>TRUE, FALSE</v>
      </c>
      <c r="AA108" s="6" t="str">
        <f>VLOOKUP(H108,PortConfigOptions!$B$1:$R$89,3,FALSE)</f>
        <v>TRUE, FALSE</v>
      </c>
      <c r="AB108" s="6" t="str">
        <f>VLOOKUP(H108,PortConfigOptions!$B$1:$R$89,4,FALSE)</f>
        <v>TRUE, FALSE</v>
      </c>
      <c r="AC108" s="6" t="str">
        <f>VLOOKUP(H108,PortConfigOptions!$B$1:$R$89,5,FALSE)</f>
        <v>PORT_PIN_LEVEL_LOW, PORT_PIN_LEVEL_HIGH</v>
      </c>
      <c r="AD108" s="6" t="str">
        <f>VLOOKUP(H108,PortConfigOptions!$B$1:$R$89,6,FALSE)</f>
        <v>CSIH2DCS_ALT1_IN, CSIH2SO_ALT1_OUT, SCI30RX_ALT2_IN, INTP0_ALT2_IN, RSCAN0RX0_ALT3_IN, INTP5_ALT3_IN, EXTCLK1O_ALT3_OUT, TSG31PTSI1_ALT4_IN, ENCA1E1_ALT4_IN, CSIH1CSS2_ALT4_OUT, FLX0TXDB_ALT5_OUT, TAUD2I2_ALT6_IN, TAUD2O2_ALT6_OUT, DIO</v>
      </c>
      <c r="AE108" s="6" t="str">
        <f>VLOOKUP(H108,PortConfigOptions!$B$1:$R$89,7,FALSE)</f>
        <v>PORT_PIN_OUT, PORT_PIN_IN</v>
      </c>
      <c r="AF108" s="6" t="str">
        <f>VLOOKUP(H108,PortConfigOptions!$B$1:$R$89,8,FALSE)</f>
        <v>TRUE, FALSE</v>
      </c>
      <c r="AG108" s="6" t="str">
        <f>VLOOKUP(H108,PortConfigOptions!$B$1:$R$89,9,FALSE)</f>
        <v>TRUE, FALSE</v>
      </c>
      <c r="AH108" s="6" t="str">
        <f>VLOOKUP(H108,PortConfigOptions!$B$1:$R$89,10,FALSE)</f>
        <v>TRUE, FALSE</v>
      </c>
      <c r="AI108" s="6" t="str">
        <f>VLOOKUP(H108,PortConfigOptions!$B$1:$R$89,11,FALSE)</f>
        <v>TRUE, FALSE</v>
      </c>
      <c r="AJ108" s="6" t="str">
        <f>VLOOKUP(H108,PortConfigOptions!$B$1:$R$89,12,FALSE)</f>
        <v>TRUE, FALSE</v>
      </c>
      <c r="AK108" s="6" t="str">
        <f>VLOOKUP(H108,PortConfigOptions!$B$1:$R$89,13,FALSE)</f>
        <v>OpenDrain_PushPull, OpenDrain_N_Channel, OpenDrain_P_Channel</v>
      </c>
      <c r="AL108" s="6" t="str">
        <f>VLOOKUP(H108,PortConfigOptions!$B$1:$R$89,14,FALSE)</f>
        <v>TRUE, FALSE</v>
      </c>
      <c r="AM108" s="6" t="str">
        <f>VLOOKUP(H108,PortConfigOptions!$B$1:$R$89,15,FALSE)</f>
        <v>SLOW, FAST, MIDDLE_0, MIDDLE_1</v>
      </c>
      <c r="AN108" s="6" t="str">
        <f>VLOOKUP(H108,PortConfigOptions!$B$1:$R$89,16,FALSE)</f>
        <v>SLOW, FAST, MIDDLE</v>
      </c>
      <c r="AO108" s="6" t="str">
        <f>VLOOKUP(H108,PortConfigOptions!$B$1:$R$89,17,FALSE)</f>
        <v>TYPE_1_SUPP_PISA, TYPE_2_SUPP_PISA</v>
      </c>
      <c r="AV108" s="6" t="s">
        <v>194</v>
      </c>
    </row>
    <row r="109" spans="1:48" x14ac:dyDescent="0.25">
      <c r="A109" s="6">
        <v>40</v>
      </c>
      <c r="B109" s="7">
        <v>8</v>
      </c>
      <c r="D109" s="7" t="s">
        <v>6</v>
      </c>
      <c r="E109" s="7" t="s">
        <v>6</v>
      </c>
      <c r="F109" s="7" t="s">
        <v>701</v>
      </c>
      <c r="G109" s="6" t="s">
        <v>303</v>
      </c>
      <c r="H109" s="6" t="s">
        <v>303</v>
      </c>
      <c r="I109" s="6" t="b">
        <v>0</v>
      </c>
      <c r="J109" s="6" t="b">
        <v>0</v>
      </c>
      <c r="K109" s="6" t="b">
        <v>0</v>
      </c>
      <c r="L109" s="7" t="s">
        <v>699</v>
      </c>
      <c r="M109" s="7" t="s">
        <v>701</v>
      </c>
      <c r="N109" s="6" t="s">
        <v>734</v>
      </c>
      <c r="O109" s="6" t="b">
        <v>0</v>
      </c>
      <c r="P109" s="7" t="b">
        <v>0</v>
      </c>
      <c r="Q109" s="7" t="b">
        <v>0</v>
      </c>
      <c r="R109" s="7" t="b">
        <v>0</v>
      </c>
      <c r="S109" s="7" t="b">
        <v>0</v>
      </c>
      <c r="T109" s="7" t="s">
        <v>737</v>
      </c>
      <c r="U109" s="7" t="b">
        <v>0</v>
      </c>
      <c r="V109" s="6" t="s">
        <v>762</v>
      </c>
      <c r="W109" s="6" t="s">
        <v>762</v>
      </c>
      <c r="X109" s="7" t="s">
        <v>748</v>
      </c>
      <c r="Z109" s="6" t="str">
        <f>VLOOKUP(H109,PortConfigOptions!$B$1:$R$89,2,FALSE)</f>
        <v>TRUE, FALSE</v>
      </c>
      <c r="AA109" s="6" t="str">
        <f>VLOOKUP(H109,PortConfigOptions!$B$1:$R$89,3,FALSE)</f>
        <v>TRUE, FALSE</v>
      </c>
      <c r="AB109" s="6" t="str">
        <f>VLOOKUP(H109,PortConfigOptions!$B$1:$R$89,4,FALSE)</f>
        <v>TRUE, FALSE</v>
      </c>
      <c r="AC109" s="6" t="str">
        <f>VLOOKUP(H109,PortConfigOptions!$B$1:$R$89,5,FALSE)</f>
        <v>PORT_PIN_LEVEL_LOW, PORT_PIN_LEVEL_HIGH</v>
      </c>
      <c r="AD109" s="6" t="str">
        <f>VLOOKUP(H109,PortConfigOptions!$B$1:$R$89,6,FALSE)</f>
        <v>CSIH2SCI_ALT1_IN, CSIH2SCO_ALT1_OUT, SCI30TX_ALT2_OUT, RSCAN0TX0_ALT3_OUT, TSG31PTSI2_ALT4_IN, ENCA1EC_ALT4_IN, CSIH1CSS3_ALT4_OUT, FLX0TXENB_ALT5_OUT, TAUD2I3_ALT6_IN, TAUD2O2_ALT6_OUT, DIO</v>
      </c>
      <c r="AE109" s="6" t="str">
        <f>VLOOKUP(H109,PortConfigOptions!$B$1:$R$89,7,FALSE)</f>
        <v>PORT_PIN_OUT, PORT_PIN_IN</v>
      </c>
      <c r="AF109" s="6" t="str">
        <f>VLOOKUP(H109,PortConfigOptions!$B$1:$R$89,8,FALSE)</f>
        <v>TRUE, FALSE</v>
      </c>
      <c r="AG109" s="6" t="str">
        <f>VLOOKUP(H109,PortConfigOptions!$B$1:$R$89,9,FALSE)</f>
        <v>TRUE, FALSE</v>
      </c>
      <c r="AH109" s="6" t="str">
        <f>VLOOKUP(H109,PortConfigOptions!$B$1:$R$89,10,FALSE)</f>
        <v>TRUE, FALSE</v>
      </c>
      <c r="AI109" s="6" t="str">
        <f>VLOOKUP(H109,PortConfigOptions!$B$1:$R$89,11,FALSE)</f>
        <v>TRUE, FALSE</v>
      </c>
      <c r="AJ109" s="6" t="str">
        <f>VLOOKUP(H109,PortConfigOptions!$B$1:$R$89,12,FALSE)</f>
        <v>TRUE, FALSE</v>
      </c>
      <c r="AK109" s="6" t="str">
        <f>VLOOKUP(H109,PortConfigOptions!$B$1:$R$89,13,FALSE)</f>
        <v>OpenDrain_PushPull, OpenDrain_N_Channel, OpenDrain_P_Channel</v>
      </c>
      <c r="AL109" s="6" t="str">
        <f>VLOOKUP(H109,PortConfigOptions!$B$1:$R$89,14,FALSE)</f>
        <v>TRUE, FALSE</v>
      </c>
      <c r="AM109" s="6" t="str">
        <f>VLOOKUP(H109,PortConfigOptions!$B$1:$R$89,15,FALSE)</f>
        <v>SLOW, FAST, MIDDLE_0, MIDDLE_1</v>
      </c>
      <c r="AN109" s="6" t="str">
        <f>VLOOKUP(H109,PortConfigOptions!$B$1:$R$89,16,FALSE)</f>
        <v>SLOW, FAST, MIDDLE</v>
      </c>
      <c r="AO109" s="6" t="str">
        <f>VLOOKUP(H109,PortConfigOptions!$B$1:$R$89,17,FALSE)</f>
        <v>TYPE_1_SUPP_PISA, TYPE_2_SUPP_PISA</v>
      </c>
      <c r="AV109" s="6" t="s">
        <v>64</v>
      </c>
    </row>
    <row r="110" spans="1:48" x14ac:dyDescent="0.25">
      <c r="A110" s="6">
        <v>3</v>
      </c>
      <c r="B110" s="7">
        <v>9</v>
      </c>
      <c r="D110" s="7" t="s">
        <v>753</v>
      </c>
      <c r="E110" s="7" t="s">
        <v>758</v>
      </c>
      <c r="F110" s="19" t="s">
        <v>759</v>
      </c>
      <c r="G110" s="7" t="s">
        <v>755</v>
      </c>
      <c r="H110" s="6" t="s">
        <v>299</v>
      </c>
      <c r="I110" s="6" t="b">
        <v>0</v>
      </c>
      <c r="J110" s="6" t="b">
        <v>0</v>
      </c>
      <c r="K110" s="6" t="b">
        <v>0</v>
      </c>
      <c r="L110" s="7" t="s">
        <v>699</v>
      </c>
      <c r="M110" s="7" t="s">
        <v>761</v>
      </c>
      <c r="N110" s="6" t="s">
        <v>734</v>
      </c>
      <c r="O110" s="6" t="b">
        <v>0</v>
      </c>
      <c r="P110" s="7" t="b">
        <v>0</v>
      </c>
      <c r="Q110" s="19" t="s">
        <v>6</v>
      </c>
      <c r="R110" s="7" t="b">
        <v>0</v>
      </c>
      <c r="S110" s="7" t="b">
        <v>0</v>
      </c>
      <c r="T110" s="7" t="s">
        <v>737</v>
      </c>
      <c r="U110" s="7" t="b">
        <v>0</v>
      </c>
      <c r="V110" s="6" t="s">
        <v>762</v>
      </c>
      <c r="W110" s="6" t="s">
        <v>762</v>
      </c>
      <c r="X110" s="19" t="s">
        <v>6</v>
      </c>
      <c r="Z110" s="6" t="str">
        <f>VLOOKUP(H110,PortConfigOptions!$B$1:$R$89,2,FALSE)</f>
        <v>TRUE, FALSE</v>
      </c>
      <c r="AA110" s="6" t="str">
        <f>VLOOKUP(H110,PortConfigOptions!$B$1:$R$89,3,FALSE)</f>
        <v>TRUE, FALSE</v>
      </c>
      <c r="AB110" s="6" t="str">
        <f>VLOOKUP(H110,PortConfigOptions!$B$1:$R$89,4,FALSE)</f>
        <v>TRUE, FALSE</v>
      </c>
      <c r="AC110" s="6" t="str">
        <f>VLOOKUP(H110,PortConfigOptions!$B$1:$R$89,5,FALSE)</f>
        <v>PORT_PIN_LEVEL_LOW, PORT_PIN_LEVEL_HIGH</v>
      </c>
      <c r="AD110" s="6" t="str">
        <f>VLOOKUP(H110,PortConfigOptions!$B$1:$R$89,6,FALSE)</f>
        <v>RSCAN0RX1_ALT1_IN, INTP6_ALT1_IN, CSIH2RYO_ALT1_OUT, FLX0CLK_ALT2_IN, TAUD1O0_ALT2_OUT, ENCA0TIN0_ALT3_IN, CSIH2CSS0_ALT3_OUT, TSG31CLKI_ALT4_IN, CSIH1CSS4_ALT5_OUT, TAUD2I4_ALT6_IN, TAUD2O4_ALT6_OUT, DIO</v>
      </c>
      <c r="AE110" s="6" t="str">
        <f>VLOOKUP(H110,PortConfigOptions!$B$1:$R$89,7,FALSE)</f>
        <v>PORT_PIN_OUT, PORT_PIN_IN</v>
      </c>
      <c r="AF110" s="6" t="str">
        <f>VLOOKUP(H110,PortConfigOptions!$B$1:$R$89,8,FALSE)</f>
        <v>TRUE, FALSE</v>
      </c>
      <c r="AG110" s="6" t="str">
        <f>VLOOKUP(H110,PortConfigOptions!$B$1:$R$89,9,FALSE)</f>
        <v>TRUE, FALSE</v>
      </c>
      <c r="AH110" s="6">
        <f>VLOOKUP(H110,PortConfigOptions!$B$1:$R$89,10,FALSE)</f>
        <v>0</v>
      </c>
      <c r="AI110" s="6" t="str">
        <f>VLOOKUP(H110,PortConfigOptions!$B$1:$R$89,11,FALSE)</f>
        <v>TRUE, FALSE</v>
      </c>
      <c r="AJ110" s="6" t="str">
        <f>VLOOKUP(H110,PortConfigOptions!$B$1:$R$89,12,FALSE)</f>
        <v>TRUE, FALSE</v>
      </c>
      <c r="AK110" s="6" t="str">
        <f>VLOOKUP(H110,PortConfigOptions!$B$1:$R$89,13,FALSE)</f>
        <v>OpenDrain_PushPull, OpenDrain_N_Channel, OpenDrain_P_Channel</v>
      </c>
      <c r="AL110" s="6" t="str">
        <f>VLOOKUP(H110,PortConfigOptions!$B$1:$R$89,14,FALSE)</f>
        <v>TRUE, FALSE</v>
      </c>
      <c r="AM110" s="6" t="str">
        <f>VLOOKUP(H110,PortConfigOptions!$B$1:$R$89,15,FALSE)</f>
        <v>SLOW, FAST, MIDDLE_0, MIDDLE_1</v>
      </c>
      <c r="AN110" s="6" t="str">
        <f>VLOOKUP(H110,PortConfigOptions!$B$1:$R$89,16,FALSE)</f>
        <v>SLOW, FAST, MIDDLE</v>
      </c>
      <c r="AO110" s="6">
        <f>VLOOKUP(H110,PortConfigOptions!$B$1:$R$89,17,FALSE)</f>
        <v>0</v>
      </c>
      <c r="AS110" s="7" t="s">
        <v>274</v>
      </c>
      <c r="AV110" s="6" t="s">
        <v>13</v>
      </c>
    </row>
    <row r="111" spans="1:48" x14ac:dyDescent="0.25">
      <c r="A111" s="6">
        <v>5</v>
      </c>
      <c r="B111" s="7">
        <v>12</v>
      </c>
      <c r="D111" s="7" t="s">
        <v>6</v>
      </c>
      <c r="E111" s="7" t="s">
        <v>6</v>
      </c>
      <c r="F111" s="7" t="s">
        <v>701</v>
      </c>
      <c r="G111" s="6" t="s">
        <v>275</v>
      </c>
      <c r="H111" s="6" t="s">
        <v>275</v>
      </c>
      <c r="I111" s="6" t="b">
        <v>0</v>
      </c>
      <c r="J111" s="6" t="b">
        <v>0</v>
      </c>
      <c r="K111" s="6" t="b">
        <v>0</v>
      </c>
      <c r="L111" s="7" t="s">
        <v>699</v>
      </c>
      <c r="M111" s="7" t="s">
        <v>701</v>
      </c>
      <c r="N111" s="6" t="s">
        <v>734</v>
      </c>
      <c r="O111" s="6" t="b">
        <v>0</v>
      </c>
      <c r="P111" s="7" t="b">
        <v>0</v>
      </c>
      <c r="Q111" s="19" t="s">
        <v>6</v>
      </c>
      <c r="R111" s="7" t="b">
        <v>0</v>
      </c>
      <c r="S111" s="7" t="b">
        <v>0</v>
      </c>
      <c r="T111" s="7" t="s">
        <v>737</v>
      </c>
      <c r="U111" s="7" t="b">
        <v>0</v>
      </c>
      <c r="V111" s="6" t="s">
        <v>762</v>
      </c>
      <c r="W111" s="6" t="s">
        <v>762</v>
      </c>
      <c r="X111" s="19" t="s">
        <v>6</v>
      </c>
      <c r="Z111" s="6" t="str">
        <f>VLOOKUP(H111,PortConfigOptions!$B$1:$R$89,2,FALSE)</f>
        <v>TRUE, FALSE</v>
      </c>
      <c r="AA111" s="6" t="str">
        <f>VLOOKUP(H111,PortConfigOptions!$B$1:$R$89,3,FALSE)</f>
        <v>TRUE, FALSE</v>
      </c>
      <c r="AB111" s="6" t="str">
        <f>VLOOKUP(H111,PortConfigOptions!$B$1:$R$89,4,FALSE)</f>
        <v>TRUE, FALSE</v>
      </c>
      <c r="AC111" s="6" t="str">
        <f>VLOOKUP(H111,PortConfigOptions!$B$1:$R$89,5,FALSE)</f>
        <v>PORT_PIN_LEVEL_LOW, PORT_PIN_LEVEL_HIGH</v>
      </c>
      <c r="AD111" s="6" t="str">
        <f>VLOOKUP(H111,PortConfigOptions!$B$1:$R$89,6,FALSE)</f>
        <v>FLX0RXDA_ALT1_IN, INTP11_ALT1_IN, TAUD1O1_ALT2_OUT, ENCA0TIN1_ALT3_IN, CSIH2CSS1_ALT3_OUT, CSIH1SSIZ_ALT4_IN, CSIH1CSS5_ALT5_OUT, TAUD2I5_ALT6_IN, TAUD2O5_ALT6_OUT, DIO</v>
      </c>
      <c r="AE111" s="6" t="str">
        <f>VLOOKUP(H111,PortConfigOptions!$B$1:$R$89,7,FALSE)</f>
        <v>PORT_PIN_OUT, PORT_PIN_IN</v>
      </c>
      <c r="AF111" s="6" t="str">
        <f>VLOOKUP(H111,PortConfigOptions!$B$1:$R$89,8,FALSE)</f>
        <v>TRUE, FALSE</v>
      </c>
      <c r="AG111" s="6" t="str">
        <f>VLOOKUP(H111,PortConfigOptions!$B$1:$R$89,9,FALSE)</f>
        <v>TRUE, FALSE</v>
      </c>
      <c r="AH111" s="6">
        <f>VLOOKUP(H111,PortConfigOptions!$B$1:$R$89,10,FALSE)</f>
        <v>0</v>
      </c>
      <c r="AI111" s="6" t="str">
        <f>VLOOKUP(H111,PortConfigOptions!$B$1:$R$89,11,FALSE)</f>
        <v>TRUE, FALSE</v>
      </c>
      <c r="AJ111" s="6" t="str">
        <f>VLOOKUP(H111,PortConfigOptions!$B$1:$R$89,12,FALSE)</f>
        <v>TRUE, FALSE</v>
      </c>
      <c r="AK111" s="6" t="str">
        <f>VLOOKUP(H111,PortConfigOptions!$B$1:$R$89,13,FALSE)</f>
        <v>OpenDrain_PushPull, OpenDrain_N_Channel, OpenDrain_P_Channel</v>
      </c>
      <c r="AL111" s="6" t="str">
        <f>VLOOKUP(H111,PortConfigOptions!$B$1:$R$89,14,FALSE)</f>
        <v>TRUE, FALSE</v>
      </c>
      <c r="AM111" s="6" t="str">
        <f>VLOOKUP(H111,PortConfigOptions!$B$1:$R$89,15,FALSE)</f>
        <v>SLOW, FAST, MIDDLE_0, MIDDLE_1</v>
      </c>
      <c r="AN111" s="6" t="str">
        <f>VLOOKUP(H111,PortConfigOptions!$B$1:$R$89,16,FALSE)</f>
        <v>SLOW, FAST, MIDDLE</v>
      </c>
      <c r="AO111" s="6">
        <f>VLOOKUP(H111,PortConfigOptions!$B$1:$R$89,17,FALSE)</f>
        <v>0</v>
      </c>
      <c r="AS111" s="7" t="s">
        <v>270</v>
      </c>
      <c r="AT111" s="7" t="s">
        <v>296</v>
      </c>
      <c r="AU111" s="6" t="s">
        <v>271</v>
      </c>
      <c r="AV111" s="6" t="s">
        <v>15</v>
      </c>
    </row>
    <row r="112" spans="1:48" x14ac:dyDescent="0.25">
      <c r="A112" s="6">
        <v>6</v>
      </c>
      <c r="B112" s="7">
        <v>13</v>
      </c>
      <c r="D112" s="7" t="s">
        <v>6</v>
      </c>
      <c r="E112" s="7" t="s">
        <v>6</v>
      </c>
      <c r="F112" s="7" t="s">
        <v>701</v>
      </c>
      <c r="G112" s="6" t="s">
        <v>276</v>
      </c>
      <c r="H112" s="6" t="s">
        <v>276</v>
      </c>
      <c r="I112" s="6" t="b">
        <v>0</v>
      </c>
      <c r="J112" s="6" t="b">
        <v>0</v>
      </c>
      <c r="K112" s="6" t="b">
        <v>0</v>
      </c>
      <c r="L112" s="7" t="s">
        <v>699</v>
      </c>
      <c r="M112" s="7" t="s">
        <v>701</v>
      </c>
      <c r="N112" s="6" t="s">
        <v>734</v>
      </c>
      <c r="O112" s="6" t="b">
        <v>0</v>
      </c>
      <c r="P112" s="7" t="b">
        <v>0</v>
      </c>
      <c r="Q112" s="19" t="s">
        <v>6</v>
      </c>
      <c r="R112" s="7" t="b">
        <v>0</v>
      </c>
      <c r="S112" s="7" t="b">
        <v>0</v>
      </c>
      <c r="T112" s="7" t="s">
        <v>737</v>
      </c>
      <c r="U112" s="7" t="b">
        <v>0</v>
      </c>
      <c r="V112" s="6" t="s">
        <v>762</v>
      </c>
      <c r="W112" s="6" t="s">
        <v>762</v>
      </c>
      <c r="X112" s="7" t="s">
        <v>748</v>
      </c>
      <c r="Z112" s="6" t="str">
        <f>VLOOKUP(H112,PortConfigOptions!$B$1:$R$89,2,FALSE)</f>
        <v>TRUE, FALSE</v>
      </c>
      <c r="AA112" s="6" t="str">
        <f>VLOOKUP(H112,PortConfigOptions!$B$1:$R$89,3,FALSE)</f>
        <v>TRUE, FALSE</v>
      </c>
      <c r="AB112" s="6" t="str">
        <f>VLOOKUP(H112,PortConfigOptions!$B$1:$R$89,4,FALSE)</f>
        <v>TRUE, FALSE</v>
      </c>
      <c r="AC112" s="6" t="str">
        <f>VLOOKUP(H112,PortConfigOptions!$B$1:$R$89,5,FALSE)</f>
        <v>PORT_PIN_LEVEL_LOW, PORT_PIN_LEVEL_HIGH</v>
      </c>
      <c r="AD112" s="6" t="str">
        <f>VLOOKUP(H112,PortConfigOptions!$B$1:$R$89,6,FALSE)</f>
        <v>FLX0TXDA_ALT1_OUT, TAUD1O2_ALT2_OUT, ENCA1TIN0_ALT3_IN, CSIH2CSS2_ALT3_OUT, CSIH1RYI_ALT4_IN, CSIH1CSS6_ALT5_OUT, TAUD2I6_ALT6_IN, TAUD2O6_ALT6_OUT, DIO</v>
      </c>
      <c r="AE112" s="6" t="str">
        <f>VLOOKUP(H112,PortConfigOptions!$B$1:$R$89,7,FALSE)</f>
        <v>PORT_PIN_OUT, PORT_PIN_IN</v>
      </c>
      <c r="AF112" s="6" t="str">
        <f>VLOOKUP(H112,PortConfigOptions!$B$1:$R$89,8,FALSE)</f>
        <v>TRUE, FALSE</v>
      </c>
      <c r="AG112" s="6" t="str">
        <f>VLOOKUP(H112,PortConfigOptions!$B$1:$R$89,9,FALSE)</f>
        <v>TRUE, FALSE</v>
      </c>
      <c r="AH112" s="6">
        <f>VLOOKUP(H112,PortConfigOptions!$B$1:$R$89,10,FALSE)</f>
        <v>0</v>
      </c>
      <c r="AI112" s="6" t="str">
        <f>VLOOKUP(H112,PortConfigOptions!$B$1:$R$89,11,FALSE)</f>
        <v>TRUE, FALSE</v>
      </c>
      <c r="AJ112" s="6" t="str">
        <f>VLOOKUP(H112,PortConfigOptions!$B$1:$R$89,12,FALSE)</f>
        <v>TRUE, FALSE</v>
      </c>
      <c r="AK112" s="6" t="str">
        <f>VLOOKUP(H112,PortConfigOptions!$B$1:$R$89,13,FALSE)</f>
        <v>OpenDrain_PushPull, OpenDrain_N_Channel, OpenDrain_P_Channel</v>
      </c>
      <c r="AL112" s="6" t="str">
        <f>VLOOKUP(H112,PortConfigOptions!$B$1:$R$89,14,FALSE)</f>
        <v>TRUE, FALSE</v>
      </c>
      <c r="AM112" s="6" t="str">
        <f>VLOOKUP(H112,PortConfigOptions!$B$1:$R$89,15,FALSE)</f>
        <v>SLOW, FAST, MIDDLE_0, MIDDLE_1</v>
      </c>
      <c r="AN112" s="6" t="str">
        <f>VLOOKUP(H112,PortConfigOptions!$B$1:$R$89,16,FALSE)</f>
        <v>SLOW, FAST, MIDDLE</v>
      </c>
      <c r="AO112" s="6" t="str">
        <f>VLOOKUP(H112,PortConfigOptions!$B$1:$R$89,17,FALSE)</f>
        <v>TYPE_1_SUPP_PISA, TYPE_2_SUPP_PISA</v>
      </c>
      <c r="AS112" s="7" t="s">
        <v>270</v>
      </c>
      <c r="AT112" s="7" t="s">
        <v>296</v>
      </c>
      <c r="AU112" s="6" t="s">
        <v>271</v>
      </c>
      <c r="AV112" s="6" t="s">
        <v>16</v>
      </c>
    </row>
    <row r="113" spans="1:48" x14ac:dyDescent="0.25">
      <c r="A113" s="6">
        <v>66</v>
      </c>
      <c r="B113" s="7">
        <v>52</v>
      </c>
      <c r="D113" s="7" t="s">
        <v>136</v>
      </c>
      <c r="E113" s="7" t="s">
        <v>482</v>
      </c>
      <c r="F113" s="7" t="s">
        <v>245</v>
      </c>
      <c r="G113" s="7" t="s">
        <v>137</v>
      </c>
      <c r="H113" s="6" t="s">
        <v>327</v>
      </c>
      <c r="I113" s="6" t="b">
        <v>0</v>
      </c>
      <c r="J113" s="6" t="b">
        <v>0</v>
      </c>
      <c r="K113" s="6" t="b">
        <v>0</v>
      </c>
      <c r="L113" s="7" t="s">
        <v>699</v>
      </c>
      <c r="M113" s="7" t="s">
        <v>703</v>
      </c>
      <c r="N113" s="6" t="s">
        <v>734</v>
      </c>
      <c r="O113" s="7" t="b">
        <v>0</v>
      </c>
      <c r="P113" s="7" t="b">
        <v>0</v>
      </c>
      <c r="Q113" s="19" t="s">
        <v>6</v>
      </c>
      <c r="R113" s="7" t="b">
        <v>0</v>
      </c>
      <c r="S113" s="7" t="b">
        <v>0</v>
      </c>
      <c r="T113" s="7" t="s">
        <v>737</v>
      </c>
      <c r="U113" s="7" t="b">
        <v>0</v>
      </c>
      <c r="V113" s="6" t="s">
        <v>762</v>
      </c>
      <c r="W113" s="6" t="s">
        <v>762</v>
      </c>
      <c r="X113" s="19" t="s">
        <v>6</v>
      </c>
      <c r="Z113" s="6" t="str">
        <f>VLOOKUP(H113,PortConfigOptions!$B$1:$R$89,2,FALSE)</f>
        <v>TRUE, FALSE</v>
      </c>
      <c r="AA113" s="6" t="str">
        <f>VLOOKUP(H113,PortConfigOptions!$B$1:$R$89,3,FALSE)</f>
        <v>TRUE, FALSE</v>
      </c>
      <c r="AB113" s="6" t="str">
        <f>VLOOKUP(H113,PortConfigOptions!$B$1:$R$89,4,FALSE)</f>
        <v>TRUE, FALSE</v>
      </c>
      <c r="AC113" s="6" t="str">
        <f>VLOOKUP(H113,PortConfigOptions!$B$1:$R$89,5,FALSE)</f>
        <v>PORT_PIN_LEVEL_LOW, PORT_PIN_LEVEL_HIGH</v>
      </c>
      <c r="AD113" s="6" t="str">
        <f>VLOOKUP(H113,PortConfigOptions!$B$1:$R$89,6,FALSE)</f>
        <v>CSIG0SI_ALT1_IN, TAUD0ODI0_ALT2_IN, TAUD0O0_ALT2_OUT, TAUD0I1_ALT3_IN, TAUD0O1_ALT4_OUT, TAUD0ODI1_ALT4_IN, CSIH2CSS1_ALT5_OUT, SCI30RX_ALT6_IN, INTP0_ALT6_IN, DIO</v>
      </c>
      <c r="AE113" s="6" t="str">
        <f>VLOOKUP(H113,PortConfigOptions!$B$1:$R$89,7,FALSE)</f>
        <v>PORT_PIN_OUT, PORT_PIN_IN</v>
      </c>
      <c r="AF113" s="6" t="str">
        <f>VLOOKUP(H113,PortConfigOptions!$B$1:$R$89,8,FALSE)</f>
        <v>TRUE, FALSE</v>
      </c>
      <c r="AG113" s="6" t="str">
        <f>VLOOKUP(H113,PortConfigOptions!$B$1:$R$89,9,FALSE)</f>
        <v>TRUE, FALSE</v>
      </c>
      <c r="AH113" s="6">
        <f>VLOOKUP(H113,PortConfigOptions!$B$1:$R$89,10,FALSE)</f>
        <v>0</v>
      </c>
      <c r="AI113" s="6" t="str">
        <f>VLOOKUP(H113,PortConfigOptions!$B$1:$R$89,11,FALSE)</f>
        <v>TRUE, FALSE</v>
      </c>
      <c r="AJ113" s="6" t="str">
        <f>VLOOKUP(H113,PortConfigOptions!$B$1:$R$89,12,FALSE)</f>
        <v>TRUE, FALSE</v>
      </c>
      <c r="AK113" s="6" t="str">
        <f>VLOOKUP(H113,PortConfigOptions!$B$1:$R$89,13,FALSE)</f>
        <v>OpenDrain_PushPull, OpenDrain_N_Channel, OpenDrain_P_Channel</v>
      </c>
      <c r="AL113" s="6" t="str">
        <f>VLOOKUP(H113,PortConfigOptions!$B$1:$R$89,14,FALSE)</f>
        <v>TRUE, FALSE</v>
      </c>
      <c r="AM113" s="6" t="str">
        <f>VLOOKUP(H113,PortConfigOptions!$B$1:$R$89,15,FALSE)</f>
        <v>SLOW, FAST, MIDDLE_0, MIDDLE_1</v>
      </c>
      <c r="AN113" s="6" t="str">
        <f>VLOOKUP(H113,PortConfigOptions!$B$1:$R$89,16,FALSE)</f>
        <v>SLOW, FAST, MIDDLE</v>
      </c>
      <c r="AO113" s="6">
        <f>VLOOKUP(H113,PortConfigOptions!$B$1:$R$89,17,FALSE)</f>
        <v>0</v>
      </c>
      <c r="AV113" s="6" t="s">
        <v>138</v>
      </c>
    </row>
    <row r="114" spans="1:48" x14ac:dyDescent="0.25">
      <c r="A114" s="6">
        <v>67</v>
      </c>
      <c r="B114" s="7">
        <v>53</v>
      </c>
      <c r="D114" s="7" t="s">
        <v>140</v>
      </c>
      <c r="E114" s="7" t="s">
        <v>483</v>
      </c>
      <c r="F114" s="7" t="s">
        <v>245</v>
      </c>
      <c r="G114" s="7" t="s">
        <v>139</v>
      </c>
      <c r="H114" s="6" t="s">
        <v>328</v>
      </c>
      <c r="I114" s="6" t="b">
        <v>0</v>
      </c>
      <c r="J114" s="6" t="b">
        <v>0</v>
      </c>
      <c r="K114" s="6" t="b">
        <v>0</v>
      </c>
      <c r="L114" s="7" t="s">
        <v>699</v>
      </c>
      <c r="M114" s="7" t="s">
        <v>704</v>
      </c>
      <c r="N114" s="6" t="s">
        <v>735</v>
      </c>
      <c r="O114" s="7" t="b">
        <v>0</v>
      </c>
      <c r="P114" s="7" t="b">
        <v>0</v>
      </c>
      <c r="Q114" s="11" t="b">
        <v>1</v>
      </c>
      <c r="R114" s="7" t="b">
        <v>0</v>
      </c>
      <c r="S114" s="7" t="b">
        <v>0</v>
      </c>
      <c r="T114" s="7" t="s">
        <v>736</v>
      </c>
      <c r="U114" s="7" t="b">
        <v>0</v>
      </c>
      <c r="V114" s="6" t="s">
        <v>762</v>
      </c>
      <c r="W114" s="6" t="s">
        <v>762</v>
      </c>
      <c r="X114" s="19" t="s">
        <v>6</v>
      </c>
      <c r="Z114" s="6" t="str">
        <f>VLOOKUP(H114,PortConfigOptions!$B$1:$R$89,2,FALSE)</f>
        <v>TRUE, FALSE</v>
      </c>
      <c r="AA114" s="6" t="str">
        <f>VLOOKUP(H114,PortConfigOptions!$B$1:$R$89,3,FALSE)</f>
        <v>TRUE, FALSE</v>
      </c>
      <c r="AB114" s="6" t="str">
        <f>VLOOKUP(H114,PortConfigOptions!$B$1:$R$89,4,FALSE)</f>
        <v>TRUE, FALSE</v>
      </c>
      <c r="AC114" s="6" t="str">
        <f>VLOOKUP(H114,PortConfigOptions!$B$1:$R$89,5,FALSE)</f>
        <v>PORT_PIN_LEVEL_LOW, PORT_PIN_LEVEL_HIGH</v>
      </c>
      <c r="AD114" s="6" t="str">
        <f>VLOOKUP(H114,PortConfigOptions!$B$1:$R$89,6,FALSE)</f>
        <v>CSIG0DCS_ALT1_IN, CSIG0SO_ALT1_OUT, TAUD0ODI2_ALT2_OUT, TAUD0O2_ALT2_OUT, TAUD0I3_ALT3_IN, ADCD0CNV0_ALT3_OUT, TAUD0ODI3_ALT4_IN, TAUD0O3_ALT4_OUT, TAUD0I2_ALT5_IN, CSIH2CSS2_ALT5_OUT, SCI30TX_ALT56_OUT, DIO</v>
      </c>
      <c r="AE114" s="6" t="str">
        <f>VLOOKUP(H114,PortConfigOptions!$B$1:$R$89,7,FALSE)</f>
        <v>PORT_PIN_OUT, PORT_PIN_IN</v>
      </c>
      <c r="AF114" s="6" t="str">
        <f>VLOOKUP(H114,PortConfigOptions!$B$1:$R$89,8,FALSE)</f>
        <v>TRUE, FALSE</v>
      </c>
      <c r="AG114" s="6" t="str">
        <f>VLOOKUP(H114,PortConfigOptions!$B$1:$R$89,9,FALSE)</f>
        <v>TRUE, FALSE</v>
      </c>
      <c r="AH114" s="6" t="str">
        <f>VLOOKUP(H114,PortConfigOptions!$B$1:$R$89,10,FALSE)</f>
        <v>TRUE, FALSE</v>
      </c>
      <c r="AI114" s="6" t="str">
        <f>VLOOKUP(H114,PortConfigOptions!$B$1:$R$89,11,FALSE)</f>
        <v>TRUE, FALSE</v>
      </c>
      <c r="AJ114" s="6" t="str">
        <f>VLOOKUP(H114,PortConfigOptions!$B$1:$R$89,12,FALSE)</f>
        <v>TRUE, FALSE</v>
      </c>
      <c r="AK114" s="6" t="str">
        <f>VLOOKUP(H114,PortConfigOptions!$B$1:$R$89,13,FALSE)</f>
        <v>OpenDrain_PushPull, OpenDrain_N_Channel, OpenDrain_P_Channel</v>
      </c>
      <c r="AL114" s="6" t="str">
        <f>VLOOKUP(H114,PortConfigOptions!$B$1:$R$89,14,FALSE)</f>
        <v>TRUE, FALSE</v>
      </c>
      <c r="AM114" s="6" t="str">
        <f>VLOOKUP(H114,PortConfigOptions!$B$1:$R$89,15,FALSE)</f>
        <v>SLOW, FAST, MIDDLE_0, MIDDLE_1</v>
      </c>
      <c r="AN114" s="6" t="str">
        <f>VLOOKUP(H114,PortConfigOptions!$B$1:$R$89,16,FALSE)</f>
        <v>SLOW, FAST, MIDDLE</v>
      </c>
      <c r="AO114" s="6">
        <f>VLOOKUP(H114,PortConfigOptions!$B$1:$R$89,17,FALSE)</f>
        <v>0</v>
      </c>
      <c r="AV114" s="6" t="s">
        <v>141</v>
      </c>
    </row>
    <row r="115" spans="1:48" x14ac:dyDescent="0.25">
      <c r="A115" s="6">
        <v>70</v>
      </c>
      <c r="B115" s="7">
        <v>64</v>
      </c>
      <c r="D115" s="7" t="s">
        <v>147</v>
      </c>
      <c r="E115" s="20" t="s">
        <v>391</v>
      </c>
      <c r="F115" s="7" t="s">
        <v>701</v>
      </c>
      <c r="G115" s="7" t="s">
        <v>148</v>
      </c>
      <c r="H115" s="6" t="s">
        <v>148</v>
      </c>
      <c r="I115" s="6" t="b">
        <v>0</v>
      </c>
      <c r="J115" s="6" t="b">
        <v>0</v>
      </c>
      <c r="K115" s="6" t="b">
        <v>0</v>
      </c>
      <c r="L115" s="7" t="s">
        <v>699</v>
      </c>
      <c r="M115" s="7" t="s">
        <v>701</v>
      </c>
      <c r="N115" s="6" t="s">
        <v>735</v>
      </c>
      <c r="O115" s="6" t="b">
        <v>0</v>
      </c>
      <c r="P115" s="7" t="b">
        <v>0</v>
      </c>
      <c r="Q115" s="7" t="b">
        <v>0</v>
      </c>
      <c r="R115" s="7" t="b">
        <v>0</v>
      </c>
      <c r="S115" s="7" t="b">
        <v>0</v>
      </c>
      <c r="T115" s="7" t="s">
        <v>736</v>
      </c>
      <c r="U115" s="7" t="b">
        <v>0</v>
      </c>
      <c r="V115" s="6" t="s">
        <v>762</v>
      </c>
      <c r="W115" s="6" t="s">
        <v>762</v>
      </c>
      <c r="X115" s="19" t="s">
        <v>6</v>
      </c>
      <c r="Z115" s="6" t="str">
        <f>VLOOKUP(H115,PortConfigOptions!$B$1:$R$89,2,FALSE)</f>
        <v>TRUE, FALSE</v>
      </c>
      <c r="AA115" s="6" t="str">
        <f>VLOOKUP(H115,PortConfigOptions!$B$1:$R$89,3,FALSE)</f>
        <v>TRUE, FALSE</v>
      </c>
      <c r="AB115" s="6" t="str">
        <f>VLOOKUP(H115,PortConfigOptions!$B$1:$R$89,4,FALSE)</f>
        <v>TRUE, FALSE</v>
      </c>
      <c r="AC115" s="6" t="str">
        <f>VLOOKUP(H115,PortConfigOptions!$B$1:$R$89,5,FALSE)</f>
        <v>PORT_PIN_LEVEL_LOW, PORT_PIN_LEVEL_HIGH</v>
      </c>
      <c r="AD115" s="6" t="str">
        <f>VLOOKUP(H115,PortConfigOptions!$B$1:$R$89,6,FALSE)</f>
        <v>RLIN30RX_ALT1_IN, INTP3_ALT1_IN, ADCATRG0_ALT4_IN, ADCD0CNV0_ALT4_OUT, PSI51DOUT_ALT5_OUT, SCI32SCI_ALT6_IN, SCI32SCO_ALT6_OUT, DIO</v>
      </c>
      <c r="AE115" s="6" t="str">
        <f>VLOOKUP(H115,PortConfigOptions!$B$1:$R$89,7,FALSE)</f>
        <v>PORT_PIN_OUT, PORT_PIN_IN</v>
      </c>
      <c r="AF115" s="6" t="str">
        <f>VLOOKUP(H115,PortConfigOptions!$B$1:$R$89,8,FALSE)</f>
        <v>TRUE, FALSE</v>
      </c>
      <c r="AG115" s="6" t="str">
        <f>VLOOKUP(H115,PortConfigOptions!$B$1:$R$89,9,FALSE)</f>
        <v>TRUE, FALSE</v>
      </c>
      <c r="AH115" s="6" t="str">
        <f>VLOOKUP(H115,PortConfigOptions!$B$1:$R$89,10,FALSE)</f>
        <v>TRUE, FALSE</v>
      </c>
      <c r="AI115" s="6" t="str">
        <f>VLOOKUP(H115,PortConfigOptions!$B$1:$R$89,11,FALSE)</f>
        <v>TRUE, FALSE</v>
      </c>
      <c r="AJ115" s="6" t="str">
        <f>VLOOKUP(H115,PortConfigOptions!$B$1:$R$89,12,FALSE)</f>
        <v>TRUE, FALSE</v>
      </c>
      <c r="AK115" s="6" t="str">
        <f>VLOOKUP(H115,PortConfigOptions!$B$1:$R$89,13,FALSE)</f>
        <v>OpenDrain_PushPull, OpenDrain_N_Channel, OpenDrain_P_Channel</v>
      </c>
      <c r="AL115" s="6" t="str">
        <f>VLOOKUP(H115,PortConfigOptions!$B$1:$R$89,14,FALSE)</f>
        <v>TRUE, FALSE</v>
      </c>
      <c r="AM115" s="6" t="str">
        <f>VLOOKUP(H115,PortConfigOptions!$B$1:$R$89,15,FALSE)</f>
        <v>SLOW, FAST, MIDDLE_0, MIDDLE_1</v>
      </c>
      <c r="AN115" s="6" t="str">
        <f>VLOOKUP(H115,PortConfigOptions!$B$1:$R$89,16,FALSE)</f>
        <v>SLOW, FAST, MIDDLE</v>
      </c>
      <c r="AO115" s="6">
        <f>VLOOKUP(H115,PortConfigOptions!$B$1:$R$89,17,FALSE)</f>
        <v>0</v>
      </c>
      <c r="AR115" s="20"/>
      <c r="AV115" s="6" t="s">
        <v>149</v>
      </c>
    </row>
    <row r="116" spans="1:48" x14ac:dyDescent="0.25">
      <c r="A116" s="6">
        <v>79</v>
      </c>
      <c r="B116" s="7">
        <v>65</v>
      </c>
      <c r="D116" s="7" t="s">
        <v>164</v>
      </c>
      <c r="E116" s="7" t="s">
        <v>492</v>
      </c>
      <c r="F116" s="7" t="s">
        <v>248</v>
      </c>
      <c r="G116" s="7" t="s">
        <v>701</v>
      </c>
      <c r="H116" s="6" t="s">
        <v>332</v>
      </c>
      <c r="I116" s="6" t="b">
        <v>0</v>
      </c>
      <c r="J116" s="6" t="b">
        <v>0</v>
      </c>
      <c r="K116" s="6" t="b">
        <v>1</v>
      </c>
      <c r="L116" s="7" t="s">
        <v>749</v>
      </c>
      <c r="M116" s="7" t="s">
        <v>701</v>
      </c>
      <c r="N116" s="6" t="s">
        <v>734</v>
      </c>
      <c r="O116" s="7" t="b">
        <v>0</v>
      </c>
      <c r="P116" s="7" t="b">
        <v>1</v>
      </c>
      <c r="Q116" s="7" t="b">
        <v>0</v>
      </c>
      <c r="R116" s="7" t="b">
        <v>0</v>
      </c>
      <c r="S116" s="7" t="b">
        <v>0</v>
      </c>
      <c r="T116" s="7" t="s">
        <v>737</v>
      </c>
      <c r="U116" s="7" t="b">
        <v>0</v>
      </c>
      <c r="V116" s="6" t="s">
        <v>762</v>
      </c>
      <c r="W116" s="6" t="s">
        <v>762</v>
      </c>
      <c r="X116" s="19" t="s">
        <v>6</v>
      </c>
      <c r="Z116" s="6" t="str">
        <f>VLOOKUP(H116,PortConfigOptions!$B$1:$R$89,2,FALSE)</f>
        <v>TRUE, FALSE</v>
      </c>
      <c r="AA116" s="6" t="str">
        <f>VLOOKUP(H116,PortConfigOptions!$B$1:$R$89,3,FALSE)</f>
        <v>TRUE, FALSE</v>
      </c>
      <c r="AB116" s="6" t="str">
        <f>VLOOKUP(H116,PortConfigOptions!$B$1:$R$89,4,FALSE)</f>
        <v>TRUE, FALSE</v>
      </c>
      <c r="AC116" s="6" t="str">
        <f>VLOOKUP(H116,PortConfigOptions!$B$1:$R$89,5,FALSE)</f>
        <v>PORT_PIN_LEVEL_LOW, PORT_PIN_LEVEL_HIGH</v>
      </c>
      <c r="AD116" s="6" t="str">
        <f>VLOOKUP(H116,PortConfigOptions!$B$1:$R$89,6,FALSE)</f>
        <v>RLIN30TX_ALT1_OUT, SENT3RX_ALT2_IN, SENT3SPCO_ALT2_OUT, TAUD1O10_ALT3_OUT, TAUD1ODI10_ALT3_IN, DIO</v>
      </c>
      <c r="AE116" s="6" t="str">
        <f>VLOOKUP(H116,PortConfigOptions!$B$1:$R$89,7,FALSE)</f>
        <v>PORT_PIN_OUT, PORT_PIN_IN</v>
      </c>
      <c r="AF116" s="6" t="str">
        <f>VLOOKUP(H116,PortConfigOptions!$B$1:$R$89,8,FALSE)</f>
        <v>TRUE, FALSE</v>
      </c>
      <c r="AG116" s="6" t="str">
        <f>VLOOKUP(H116,PortConfigOptions!$B$1:$R$89,9,FALSE)</f>
        <v>TRUE, FALSE</v>
      </c>
      <c r="AH116" s="6" t="str">
        <f>VLOOKUP(H116,PortConfigOptions!$B$1:$R$89,10,FALSE)</f>
        <v>TRUE, FALSE</v>
      </c>
      <c r="AI116" s="6" t="str">
        <f>VLOOKUP(H116,PortConfigOptions!$B$1:$R$89,11,FALSE)</f>
        <v>TRUE, FALSE</v>
      </c>
      <c r="AJ116" s="6" t="str">
        <f>VLOOKUP(H116,PortConfigOptions!$B$1:$R$89,12,FALSE)</f>
        <v>TRUE, FALSE</v>
      </c>
      <c r="AK116" s="6" t="str">
        <f>VLOOKUP(H116,PortConfigOptions!$B$1:$R$89,13,FALSE)</f>
        <v>OpenDrain_PushPull, OpenDrain_N_Channel, OpenDrain_P_Channel</v>
      </c>
      <c r="AL116" s="6" t="str">
        <f>VLOOKUP(H116,PortConfigOptions!$B$1:$R$89,14,FALSE)</f>
        <v>TRUE, FALSE</v>
      </c>
      <c r="AM116" s="6" t="str">
        <f>VLOOKUP(H116,PortConfigOptions!$B$1:$R$89,15,FALSE)</f>
        <v>SLOW, FAST, MIDDLE_0, MIDDLE_1</v>
      </c>
      <c r="AN116" s="6" t="str">
        <f>VLOOKUP(H116,PortConfigOptions!$B$1:$R$89,16,FALSE)</f>
        <v>SLOW, FAST, MIDDLE</v>
      </c>
      <c r="AO116" s="6">
        <f>VLOOKUP(H116,PortConfigOptions!$B$1:$R$89,17,FALSE)</f>
        <v>0</v>
      </c>
      <c r="AV116" s="6" t="s">
        <v>166</v>
      </c>
    </row>
    <row r="117" spans="1:48" x14ac:dyDescent="0.25">
      <c r="A117" s="6">
        <v>81</v>
      </c>
      <c r="B117" s="7">
        <v>66</v>
      </c>
      <c r="D117" s="7" t="s">
        <v>494</v>
      </c>
      <c r="E117" s="7" t="s">
        <v>493</v>
      </c>
      <c r="F117" s="7" t="s">
        <v>250</v>
      </c>
      <c r="G117" s="7" t="s">
        <v>701</v>
      </c>
      <c r="H117" s="6" t="s">
        <v>334</v>
      </c>
      <c r="I117" s="6" t="b">
        <v>0</v>
      </c>
      <c r="J117" s="6" t="b">
        <v>0</v>
      </c>
      <c r="K117" s="6" t="b">
        <v>1</v>
      </c>
      <c r="L117" s="7" t="s">
        <v>749</v>
      </c>
      <c r="M117" s="7" t="s">
        <v>701</v>
      </c>
      <c r="N117" s="6" t="s">
        <v>734</v>
      </c>
      <c r="O117" s="7" t="b">
        <v>0</v>
      </c>
      <c r="P117" s="7" t="b">
        <v>1</v>
      </c>
      <c r="Q117" s="7" t="b">
        <v>0</v>
      </c>
      <c r="R117" s="7" t="b">
        <v>0</v>
      </c>
      <c r="S117" s="7" t="b">
        <v>0</v>
      </c>
      <c r="T117" s="7" t="s">
        <v>737</v>
      </c>
      <c r="U117" s="7" t="b">
        <v>0</v>
      </c>
      <c r="V117" s="6" t="s">
        <v>762</v>
      </c>
      <c r="W117" s="6" t="s">
        <v>762</v>
      </c>
      <c r="X117" s="19" t="s">
        <v>6</v>
      </c>
      <c r="Z117" s="6" t="str">
        <f>VLOOKUP(H117,PortConfigOptions!$B$1:$R$89,2,FALSE)</f>
        <v>TRUE, FALSE</v>
      </c>
      <c r="AA117" s="6" t="str">
        <f>VLOOKUP(H117,PortConfigOptions!$B$1:$R$89,3,FALSE)</f>
        <v>TRUE, FALSE</v>
      </c>
      <c r="AB117" s="6" t="str">
        <f>VLOOKUP(H117,PortConfigOptions!$B$1:$R$89,4,FALSE)</f>
        <v>TRUE, FALSE</v>
      </c>
      <c r="AC117" s="6" t="str">
        <f>VLOOKUP(H117,PortConfigOptions!$B$1:$R$89,5,FALSE)</f>
        <v>PORT_PIN_LEVEL_LOW, PORT_PIN_LEVEL_HIGH</v>
      </c>
      <c r="AD117" s="6" t="str">
        <f>VLOOKUP(H117,PortConfigOptions!$B$1:$R$89,6,FALSE)</f>
        <v>RLIN31RX_ALT1_IN, INT4_ALT1_IN, SENT2RX_ALT2_IN, SENT2SPCO_ALT2_OUT, TAUD1O11_ALT3_OUT, TAUD1ODI11_ALT3_IN, DIO</v>
      </c>
      <c r="AE117" s="6" t="str">
        <f>VLOOKUP(H117,PortConfigOptions!$B$1:$R$89,7,FALSE)</f>
        <v>PORT_PIN_OUT, PORT_PIN_IN</v>
      </c>
      <c r="AF117" s="6" t="str">
        <f>VLOOKUP(H117,PortConfigOptions!$B$1:$R$89,8,FALSE)</f>
        <v>TRUE, FALSE</v>
      </c>
      <c r="AG117" s="6" t="str">
        <f>VLOOKUP(H117,PortConfigOptions!$B$1:$R$89,9,FALSE)</f>
        <v>TRUE, FALSE</v>
      </c>
      <c r="AH117" s="6" t="str">
        <f>VLOOKUP(H117,PortConfigOptions!$B$1:$R$89,10,FALSE)</f>
        <v>TRUE, FALSE</v>
      </c>
      <c r="AI117" s="6" t="str">
        <f>VLOOKUP(H117,PortConfigOptions!$B$1:$R$89,11,FALSE)</f>
        <v>TRUE, FALSE</v>
      </c>
      <c r="AJ117" s="6" t="str">
        <f>VLOOKUP(H117,PortConfigOptions!$B$1:$R$89,12,FALSE)</f>
        <v>TRUE, FALSE</v>
      </c>
      <c r="AK117" s="6" t="str">
        <f>VLOOKUP(H117,PortConfigOptions!$B$1:$R$89,13,FALSE)</f>
        <v>OpenDrain_PushPull, OpenDrain_N_Channel, OpenDrain_P_Channel</v>
      </c>
      <c r="AL117" s="6" t="str">
        <f>VLOOKUP(H117,PortConfigOptions!$B$1:$R$89,14,FALSE)</f>
        <v>TRUE, FALSE</v>
      </c>
      <c r="AM117" s="6" t="str">
        <f>VLOOKUP(H117,PortConfigOptions!$B$1:$R$89,15,FALSE)</f>
        <v>SLOW, FAST, MIDDLE_0, MIDDLE_1</v>
      </c>
      <c r="AN117" s="6" t="str">
        <f>VLOOKUP(H117,PortConfigOptions!$B$1:$R$89,16,FALSE)</f>
        <v>SLOW, FAST, MIDDLE</v>
      </c>
      <c r="AO117" s="6">
        <f>VLOOKUP(H117,PortConfigOptions!$B$1:$R$89,17,FALSE)</f>
        <v>0</v>
      </c>
      <c r="AV117" s="6" t="s">
        <v>168</v>
      </c>
    </row>
    <row r="118" spans="1:48" x14ac:dyDescent="0.25">
      <c r="A118" s="6">
        <v>131</v>
      </c>
      <c r="B118" s="7">
        <v>67</v>
      </c>
      <c r="D118" s="7" t="s">
        <v>6</v>
      </c>
      <c r="E118" s="7" t="s">
        <v>6</v>
      </c>
      <c r="F118" s="7" t="s">
        <v>701</v>
      </c>
      <c r="G118" s="6" t="s">
        <v>282</v>
      </c>
      <c r="H118" s="6" t="s">
        <v>282</v>
      </c>
      <c r="I118" s="6" t="b">
        <v>0</v>
      </c>
      <c r="J118" s="6" t="b">
        <v>0</v>
      </c>
      <c r="K118" s="6" t="b">
        <v>0</v>
      </c>
      <c r="L118" s="7" t="s">
        <v>699</v>
      </c>
      <c r="M118" s="7" t="s">
        <v>701</v>
      </c>
      <c r="N118" s="6" t="s">
        <v>734</v>
      </c>
      <c r="O118" s="6" t="b">
        <v>0</v>
      </c>
      <c r="P118" s="7" t="b">
        <v>0</v>
      </c>
      <c r="Q118" s="7" t="b">
        <v>0</v>
      </c>
      <c r="R118" s="7" t="b">
        <v>0</v>
      </c>
      <c r="S118" s="7" t="b">
        <v>0</v>
      </c>
      <c r="T118" s="7" t="s">
        <v>737</v>
      </c>
      <c r="U118" s="7" t="b">
        <v>0</v>
      </c>
      <c r="V118" s="6" t="s">
        <v>762</v>
      </c>
      <c r="W118" s="6" t="s">
        <v>762</v>
      </c>
      <c r="X118" s="19" t="s">
        <v>6</v>
      </c>
      <c r="Z118" s="6" t="str">
        <f>VLOOKUP(H118,PortConfigOptions!$B$1:$R$89,2,FALSE)</f>
        <v>TRUE, FALSE</v>
      </c>
      <c r="AA118" s="6" t="str">
        <f>VLOOKUP(H118,PortConfigOptions!$B$1:$R$89,3,FALSE)</f>
        <v>TRUE, FALSE</v>
      </c>
      <c r="AB118" s="6" t="str">
        <f>VLOOKUP(H118,PortConfigOptions!$B$1:$R$89,4,FALSE)</f>
        <v>TRUE, FALSE</v>
      </c>
      <c r="AC118" s="6" t="str">
        <f>VLOOKUP(H118,PortConfigOptions!$B$1:$R$89,5,FALSE)</f>
        <v>PORT_PIN_LEVEL_LOW, PORT_PIN_LEVEL_HIGH</v>
      </c>
      <c r="AD118" s="6" t="str">
        <f>VLOOKUP(H118,PortConfigOptions!$B$1:$R$89,6,FALSE)</f>
        <v>RLIN31TX_ALT1_OUT, SENT2SPCO_ALT2_OUT, TAUD1ODI12_ALT3_IN, TAUD1O12_ALT3_OUT, TAUD0I13_ALT4_IN, TAUD0I12_ALT5_IN, DIO</v>
      </c>
      <c r="AE118" s="6" t="str">
        <f>VLOOKUP(H118,PortConfigOptions!$B$1:$R$89,7,FALSE)</f>
        <v>PORT_PIN_OUT, PORT_PIN_IN</v>
      </c>
      <c r="AF118" s="6" t="str">
        <f>VLOOKUP(H118,PortConfigOptions!$B$1:$R$89,8,FALSE)</f>
        <v>TRUE, FALSE</v>
      </c>
      <c r="AG118" s="6" t="str">
        <f>VLOOKUP(H118,PortConfigOptions!$B$1:$R$89,9,FALSE)</f>
        <v>TRUE, FALSE</v>
      </c>
      <c r="AH118" s="6" t="str">
        <f>VLOOKUP(H118,PortConfigOptions!$B$1:$R$89,10,FALSE)</f>
        <v>TRUE, FALSE</v>
      </c>
      <c r="AI118" s="6" t="str">
        <f>VLOOKUP(H118,PortConfigOptions!$B$1:$R$89,11,FALSE)</f>
        <v>TRUE, FALSE</v>
      </c>
      <c r="AJ118" s="6" t="str">
        <f>VLOOKUP(H118,PortConfigOptions!$B$1:$R$89,12,FALSE)</f>
        <v>TRUE, FALSE</v>
      </c>
      <c r="AK118" s="6" t="str">
        <f>VLOOKUP(H118,PortConfigOptions!$B$1:$R$89,13,FALSE)</f>
        <v>OpenDrain_PushPull, OpenDrain_N_Channel, OpenDrain_P_Channel</v>
      </c>
      <c r="AL118" s="6" t="str">
        <f>VLOOKUP(H118,PortConfigOptions!$B$1:$R$89,14,FALSE)</f>
        <v>TRUE, FALSE</v>
      </c>
      <c r="AM118" s="6" t="str">
        <f>VLOOKUP(H118,PortConfigOptions!$B$1:$R$89,15,FALSE)</f>
        <v>SLOW, FAST, MIDDLE_0, MIDDLE_1</v>
      </c>
      <c r="AN118" s="6" t="str">
        <f>VLOOKUP(H118,PortConfigOptions!$B$1:$R$89,16,FALSE)</f>
        <v>SLOW, FAST, MIDDLE</v>
      </c>
      <c r="AO118" s="6">
        <f>VLOOKUP(H118,PortConfigOptions!$B$1:$R$89,17,FALSE)</f>
        <v>0</v>
      </c>
      <c r="AS118" s="7" t="s">
        <v>270</v>
      </c>
      <c r="AT118" s="7" t="s">
        <v>296</v>
      </c>
      <c r="AU118" s="6" t="s">
        <v>271</v>
      </c>
      <c r="AV118" s="6" t="s">
        <v>226</v>
      </c>
    </row>
    <row r="119" spans="1:48" x14ac:dyDescent="0.25">
      <c r="A119" s="6">
        <v>59</v>
      </c>
      <c r="B119" s="7">
        <v>68</v>
      </c>
      <c r="D119" s="7" t="s">
        <v>115</v>
      </c>
      <c r="E119" s="7" t="s">
        <v>394</v>
      </c>
      <c r="F119" s="7" t="s">
        <v>243</v>
      </c>
      <c r="G119" s="7" t="s">
        <v>116</v>
      </c>
      <c r="H119" s="6" t="s">
        <v>320</v>
      </c>
      <c r="I119" s="6" t="b">
        <v>0</v>
      </c>
      <c r="J119" s="6" t="b">
        <v>0</v>
      </c>
      <c r="K119" s="6" t="b">
        <v>0</v>
      </c>
      <c r="L119" s="7" t="s">
        <v>699</v>
      </c>
      <c r="M119" s="7" t="s">
        <v>706</v>
      </c>
      <c r="N119" s="6" t="s">
        <v>734</v>
      </c>
      <c r="O119" s="7" t="b">
        <v>0</v>
      </c>
      <c r="P119" s="7" t="b">
        <v>0</v>
      </c>
      <c r="Q119" s="7" t="b">
        <v>0</v>
      </c>
      <c r="R119" s="7" t="b">
        <v>0</v>
      </c>
      <c r="S119" s="7" t="b">
        <v>0</v>
      </c>
      <c r="T119" s="7" t="s">
        <v>737</v>
      </c>
      <c r="U119" s="7" t="b">
        <v>0</v>
      </c>
      <c r="V119" s="6" t="s">
        <v>762</v>
      </c>
      <c r="W119" s="6" t="s">
        <v>762</v>
      </c>
      <c r="X119" s="19" t="s">
        <v>6</v>
      </c>
      <c r="Z119" s="6" t="str">
        <f>VLOOKUP(H119,PortConfigOptions!$B$1:$R$89,2,FALSE)</f>
        <v>TRUE, FALSE</v>
      </c>
      <c r="AA119" s="6" t="str">
        <f>VLOOKUP(H119,PortConfigOptions!$B$1:$R$89,3,FALSE)</f>
        <v>TRUE, FALSE</v>
      </c>
      <c r="AB119" s="6" t="str">
        <f>VLOOKUP(H119,PortConfigOptions!$B$1:$R$89,4,FALSE)</f>
        <v>TRUE, FALSE</v>
      </c>
      <c r="AC119" s="6" t="str">
        <f>VLOOKUP(H119,PortConfigOptions!$B$1:$R$89,5,FALSE)</f>
        <v>PORT_PIN_LEVEL_LOW, PORT_PIN_LEVEL_HIGH</v>
      </c>
      <c r="AD119" s="6" t="str">
        <f>VLOOKUP(H119,PortConfigOptions!$B$1:$R$89,6,FALSE)</f>
        <v>TAUJ0I0_ALT1_IN, TAUJ0O0_ALT1_OUT, SENT3RX_ALT2_IN, SENT3SPCO_ALT2_OUT, TAUD1ODI13_ALT3_IN, TAUD1O13_ALT3_OUT, ADCATRG1_ALT4_IN, ADCD0CNV1_ALT4_OUT, PSI50DIN_ALT5_IN, RLIN30RX_ALT6_IN, INTP3_ALT6_IN, DIO</v>
      </c>
      <c r="AE119" s="6" t="str">
        <f>VLOOKUP(H119,PortConfigOptions!$B$1:$R$89,7,FALSE)</f>
        <v>PORT_PIN_OUT, PORT_PIN_IN</v>
      </c>
      <c r="AF119" s="6" t="str">
        <f>VLOOKUP(H119,PortConfigOptions!$B$1:$R$89,8,FALSE)</f>
        <v>TRUE, FALSE</v>
      </c>
      <c r="AG119" s="6" t="str">
        <f>VLOOKUP(H119,PortConfigOptions!$B$1:$R$89,9,FALSE)</f>
        <v>TRUE, FALSE</v>
      </c>
      <c r="AH119" s="6" t="str">
        <f>VLOOKUP(H119,PortConfigOptions!$B$1:$R$89,10,FALSE)</f>
        <v>TRUE, FALSE</v>
      </c>
      <c r="AI119" s="6" t="str">
        <f>VLOOKUP(H119,PortConfigOptions!$B$1:$R$89,11,FALSE)</f>
        <v>TRUE, FALSE</v>
      </c>
      <c r="AJ119" s="6" t="str">
        <f>VLOOKUP(H119,PortConfigOptions!$B$1:$R$89,12,FALSE)</f>
        <v>TRUE, FALSE</v>
      </c>
      <c r="AK119" s="6" t="str">
        <f>VLOOKUP(H119,PortConfigOptions!$B$1:$R$89,13,FALSE)</f>
        <v>OpenDrain_PushPull, OpenDrain_N_Channel, OpenDrain_P_Channel</v>
      </c>
      <c r="AL119" s="6" t="str">
        <f>VLOOKUP(H119,PortConfigOptions!$B$1:$R$89,14,FALSE)</f>
        <v>TRUE, FALSE</v>
      </c>
      <c r="AM119" s="6" t="str">
        <f>VLOOKUP(H119,PortConfigOptions!$B$1:$R$89,15,FALSE)</f>
        <v>SLOW, FAST, MIDDLE_0, MIDDLE_1</v>
      </c>
      <c r="AN119" s="6" t="str">
        <f>VLOOKUP(H119,PortConfigOptions!$B$1:$R$89,16,FALSE)</f>
        <v>SLOW, FAST, MIDDLE</v>
      </c>
      <c r="AO119" s="6">
        <f>VLOOKUP(H119,PortConfigOptions!$B$1:$R$89,17,FALSE)</f>
        <v>0</v>
      </c>
      <c r="AV119" s="6" t="s">
        <v>117</v>
      </c>
    </row>
    <row r="120" spans="1:48" x14ac:dyDescent="0.25">
      <c r="A120" s="6">
        <v>132</v>
      </c>
      <c r="B120" s="7">
        <v>69</v>
      </c>
      <c r="D120" s="7" t="s">
        <v>6</v>
      </c>
      <c r="E120" s="7" t="s">
        <v>6</v>
      </c>
      <c r="F120" s="7" t="s">
        <v>701</v>
      </c>
      <c r="G120" s="6" t="s">
        <v>283</v>
      </c>
      <c r="H120" s="6" t="s">
        <v>283</v>
      </c>
      <c r="I120" s="6" t="b">
        <v>0</v>
      </c>
      <c r="J120" s="6" t="b">
        <v>0</v>
      </c>
      <c r="K120" s="6" t="b">
        <v>0</v>
      </c>
      <c r="L120" s="7" t="s">
        <v>699</v>
      </c>
      <c r="M120" s="7" t="s">
        <v>701</v>
      </c>
      <c r="N120" s="6" t="s">
        <v>734</v>
      </c>
      <c r="O120" s="6" t="b">
        <v>0</v>
      </c>
      <c r="P120" s="7" t="b">
        <v>0</v>
      </c>
      <c r="Q120" s="7" t="b">
        <v>0</v>
      </c>
      <c r="R120" s="7" t="b">
        <v>0</v>
      </c>
      <c r="S120" s="7" t="b">
        <v>0</v>
      </c>
      <c r="T120" s="7" t="s">
        <v>737</v>
      </c>
      <c r="U120" s="7" t="b">
        <v>0</v>
      </c>
      <c r="V120" s="6" t="s">
        <v>762</v>
      </c>
      <c r="W120" s="6" t="s">
        <v>762</v>
      </c>
      <c r="X120" s="19" t="s">
        <v>6</v>
      </c>
      <c r="Z120" s="6" t="str">
        <f>VLOOKUP(H120,PortConfigOptions!$B$1:$R$89,2,FALSE)</f>
        <v>TRUE, FALSE</v>
      </c>
      <c r="AA120" s="6" t="str">
        <f>VLOOKUP(H120,PortConfigOptions!$B$1:$R$89,3,FALSE)</f>
        <v>TRUE, FALSE</v>
      </c>
      <c r="AB120" s="6" t="str">
        <f>VLOOKUP(H120,PortConfigOptions!$B$1:$R$89,4,FALSE)</f>
        <v>TRUE, FALSE</v>
      </c>
      <c r="AC120" s="6" t="str">
        <f>VLOOKUP(H120,PortConfigOptions!$B$1:$R$89,5,FALSE)</f>
        <v>PORT_PIN_LEVEL_LOW, PORT_PIN_LEVEL_HIGH</v>
      </c>
      <c r="AD120" s="6" t="str">
        <f>VLOOKUP(H120,PortConfigOptions!$B$1:$R$89,6,FALSE)</f>
        <v>RLIN31RX_ALT1_IN, INTP4_ALT1_IN, SENT3SPCO_ALT2_OUT, RLIN30TX_ALT6_OUT, DIO</v>
      </c>
      <c r="AE120" s="6" t="str">
        <f>VLOOKUP(H120,PortConfigOptions!$B$1:$R$89,7,FALSE)</f>
        <v>PORT_PIN_OUT, PORT_PIN_IN</v>
      </c>
      <c r="AF120" s="6" t="str">
        <f>VLOOKUP(H120,PortConfigOptions!$B$1:$R$89,8,FALSE)</f>
        <v>TRUE, FALSE</v>
      </c>
      <c r="AG120" s="6" t="str">
        <f>VLOOKUP(H120,PortConfigOptions!$B$1:$R$89,9,FALSE)</f>
        <v>TRUE, FALSE</v>
      </c>
      <c r="AH120" s="6" t="str">
        <f>VLOOKUP(H120,PortConfigOptions!$B$1:$R$89,10,FALSE)</f>
        <v>TRUE, FALSE</v>
      </c>
      <c r="AI120" s="6" t="str">
        <f>VLOOKUP(H120,PortConfigOptions!$B$1:$R$89,11,FALSE)</f>
        <v>TRUE, FALSE</v>
      </c>
      <c r="AJ120" s="6" t="str">
        <f>VLOOKUP(H120,PortConfigOptions!$B$1:$R$89,12,FALSE)</f>
        <v>TRUE, FALSE</v>
      </c>
      <c r="AK120" s="6" t="str">
        <f>VLOOKUP(H120,PortConfigOptions!$B$1:$R$89,13,FALSE)</f>
        <v>OpenDrain_PushPull, OpenDrain_N_Channel, OpenDrain_P_Channel</v>
      </c>
      <c r="AL120" s="6" t="str">
        <f>VLOOKUP(H120,PortConfigOptions!$B$1:$R$89,14,FALSE)</f>
        <v>TRUE, FALSE</v>
      </c>
      <c r="AM120" s="6" t="str">
        <f>VLOOKUP(H120,PortConfigOptions!$B$1:$R$89,15,FALSE)</f>
        <v>SLOW, FAST, MIDDLE_0, MIDDLE_1</v>
      </c>
      <c r="AN120" s="6" t="str">
        <f>VLOOKUP(H120,PortConfigOptions!$B$1:$R$89,16,FALSE)</f>
        <v>SLOW, FAST, MIDDLE</v>
      </c>
      <c r="AO120" s="6">
        <f>VLOOKUP(H120,PortConfigOptions!$B$1:$R$89,17,FALSE)</f>
        <v>0</v>
      </c>
      <c r="AS120" s="7" t="s">
        <v>270</v>
      </c>
      <c r="AT120" s="7" t="s">
        <v>296</v>
      </c>
      <c r="AU120" s="6" t="s">
        <v>271</v>
      </c>
      <c r="AV120" s="6" t="s">
        <v>227</v>
      </c>
    </row>
    <row r="121" spans="1:48" x14ac:dyDescent="0.25">
      <c r="A121" s="6">
        <v>130</v>
      </c>
      <c r="B121" s="7">
        <v>54</v>
      </c>
      <c r="D121" s="7" t="s">
        <v>6</v>
      </c>
      <c r="E121" s="7" t="s">
        <v>6</v>
      </c>
      <c r="F121" s="7" t="s">
        <v>701</v>
      </c>
      <c r="G121" s="6" t="s">
        <v>281</v>
      </c>
      <c r="H121" s="6" t="s">
        <v>281</v>
      </c>
      <c r="I121" s="6" t="b">
        <v>0</v>
      </c>
      <c r="J121" s="6" t="b">
        <v>0</v>
      </c>
      <c r="K121" s="6" t="b">
        <v>0</v>
      </c>
      <c r="L121" s="7" t="s">
        <v>699</v>
      </c>
      <c r="M121" s="7" t="s">
        <v>701</v>
      </c>
      <c r="N121" s="6" t="s">
        <v>734</v>
      </c>
      <c r="O121" s="6" t="b">
        <v>0</v>
      </c>
      <c r="P121" s="7" t="b">
        <v>0</v>
      </c>
      <c r="Q121" s="7" t="b">
        <v>0</v>
      </c>
      <c r="R121" s="7" t="b">
        <v>0</v>
      </c>
      <c r="S121" s="7" t="b">
        <v>0</v>
      </c>
      <c r="T121" s="7" t="s">
        <v>737</v>
      </c>
      <c r="U121" s="7" t="b">
        <v>0</v>
      </c>
      <c r="V121" s="6" t="s">
        <v>762</v>
      </c>
      <c r="W121" s="6" t="s">
        <v>762</v>
      </c>
      <c r="X121" s="19" t="s">
        <v>6</v>
      </c>
      <c r="Z121" s="6" t="str">
        <f>VLOOKUP(H121,PortConfigOptions!$B$1:$R$89,2,FALSE)</f>
        <v>TRUE, FALSE</v>
      </c>
      <c r="AA121" s="6" t="str">
        <f>VLOOKUP(H121,PortConfigOptions!$B$1:$R$89,3,FALSE)</f>
        <v>TRUE, FALSE</v>
      </c>
      <c r="AB121" s="6" t="str">
        <f>VLOOKUP(H121,PortConfigOptions!$B$1:$R$89,4,FALSE)</f>
        <v>TRUE, FALSE</v>
      </c>
      <c r="AC121" s="6" t="str">
        <f>VLOOKUP(H121,PortConfigOptions!$B$1:$R$89,5,FALSE)</f>
        <v>PORT_PIN_LEVEL_LOW, PORT_PIN_LEVEL_HIGH</v>
      </c>
      <c r="AD121" s="6" t="str">
        <f>VLOOKUP(H121,PortConfigOptions!$B$1:$R$89,6,FALSE)</f>
        <v>CSIG0SCI_ALT1_IN, CSIG0SCO_ALT1_OUT, TAUD0ODI2_ALT2_IN, TAUD0O2_ALT2_OUT, TAUD0I14_ALT3_IN, TAUD0ODI3_ALT4_IN, TAUD0O3_ALT4_OUT, TAUD0I15_ALT5_IN, SCI30SCI_ALT6_IN, SCI30SCO_ALT6_OUT, DIO</v>
      </c>
      <c r="AE121" s="6" t="str">
        <f>VLOOKUP(H121,PortConfigOptions!$B$1:$R$89,7,FALSE)</f>
        <v>PORT_PIN_OUT, PORT_PIN_IN</v>
      </c>
      <c r="AF121" s="6" t="str">
        <f>VLOOKUP(H121,PortConfigOptions!$B$1:$R$89,8,FALSE)</f>
        <v>TRUE, FALSE</v>
      </c>
      <c r="AG121" s="6" t="str">
        <f>VLOOKUP(H121,PortConfigOptions!$B$1:$R$89,9,FALSE)</f>
        <v>TRUE, FALSE</v>
      </c>
      <c r="AH121" s="6" t="str">
        <f>VLOOKUP(H121,PortConfigOptions!$B$1:$R$89,10,FALSE)</f>
        <v>TRUE, FALSE</v>
      </c>
      <c r="AI121" s="6" t="str">
        <f>VLOOKUP(H121,PortConfigOptions!$B$1:$R$89,11,FALSE)</f>
        <v>TRUE, FALSE</v>
      </c>
      <c r="AJ121" s="6" t="str">
        <f>VLOOKUP(H121,PortConfigOptions!$B$1:$R$89,12,FALSE)</f>
        <v>TRUE, FALSE</v>
      </c>
      <c r="AK121" s="6" t="str">
        <f>VLOOKUP(H121,PortConfigOptions!$B$1:$R$89,13,FALSE)</f>
        <v>OpenDrain_PushPull, OpenDrain_N_Channel, OpenDrain_P_Channel</v>
      </c>
      <c r="AL121" s="6" t="str">
        <f>VLOOKUP(H121,PortConfigOptions!$B$1:$R$89,14,FALSE)</f>
        <v>TRUE, FALSE</v>
      </c>
      <c r="AM121" s="6" t="str">
        <f>VLOOKUP(H121,PortConfigOptions!$B$1:$R$89,15,FALSE)</f>
        <v>SLOW, FAST, MIDDLE_0, MIDDLE_1</v>
      </c>
      <c r="AN121" s="6" t="str">
        <f>VLOOKUP(H121,PortConfigOptions!$B$1:$R$89,16,FALSE)</f>
        <v>SLOW, FAST, MIDDLE</v>
      </c>
      <c r="AO121" s="6">
        <f>VLOOKUP(H121,PortConfigOptions!$B$1:$R$89,17,FALSE)</f>
        <v>0</v>
      </c>
      <c r="AS121" s="7" t="s">
        <v>270</v>
      </c>
      <c r="AT121" s="7" t="s">
        <v>296</v>
      </c>
      <c r="AU121" s="6" t="s">
        <v>271</v>
      </c>
      <c r="AV121" s="6" t="s">
        <v>225</v>
      </c>
    </row>
    <row r="122" spans="1:48" x14ac:dyDescent="0.25">
      <c r="A122" s="6">
        <v>75</v>
      </c>
      <c r="B122" s="7">
        <v>55</v>
      </c>
      <c r="D122" s="7" t="s">
        <v>158</v>
      </c>
      <c r="E122" s="20" t="s">
        <v>390</v>
      </c>
      <c r="F122" s="7" t="s">
        <v>701</v>
      </c>
      <c r="G122" s="7" t="s">
        <v>159</v>
      </c>
      <c r="H122" s="6" t="s">
        <v>159</v>
      </c>
      <c r="I122" s="6" t="b">
        <v>0</v>
      </c>
      <c r="J122" s="6" t="b">
        <v>0</v>
      </c>
      <c r="K122" s="6" t="b">
        <v>0</v>
      </c>
      <c r="L122" s="7" t="s">
        <v>749</v>
      </c>
      <c r="M122" s="7" t="s">
        <v>701</v>
      </c>
      <c r="N122" s="6" t="s">
        <v>735</v>
      </c>
      <c r="O122" s="6" t="b">
        <v>0</v>
      </c>
      <c r="P122" s="7" t="b">
        <v>0</v>
      </c>
      <c r="Q122" s="19" t="s">
        <v>6</v>
      </c>
      <c r="R122" s="7" t="b">
        <v>0</v>
      </c>
      <c r="S122" s="7" t="b">
        <v>0</v>
      </c>
      <c r="T122" s="7" t="s">
        <v>736</v>
      </c>
      <c r="U122" s="7" t="b">
        <v>0</v>
      </c>
      <c r="V122" s="6" t="s">
        <v>762</v>
      </c>
      <c r="W122" s="6" t="s">
        <v>762</v>
      </c>
      <c r="X122" s="19" t="s">
        <v>6</v>
      </c>
      <c r="Z122" s="6" t="str">
        <f>VLOOKUP(H122,PortConfigOptions!$B$1:$R$89,2,FALSE)</f>
        <v>TRUE, FALSE</v>
      </c>
      <c r="AA122" s="6" t="str">
        <f>VLOOKUP(H122,PortConfigOptions!$B$1:$R$89,3,FALSE)</f>
        <v>TRUE, FALSE</v>
      </c>
      <c r="AB122" s="6" t="str">
        <f>VLOOKUP(H122,PortConfigOptions!$B$1:$R$89,4,FALSE)</f>
        <v>TRUE, FALSE</v>
      </c>
      <c r="AC122" s="6" t="str">
        <f>VLOOKUP(H122,PortConfigOptions!$B$1:$R$89,5,FALSE)</f>
        <v>PORT_PIN_LEVEL_LOW, PORT_PIN_LEVEL_HIGH</v>
      </c>
      <c r="AD122" s="6" t="str">
        <f>VLOOKUP(H122,PortConfigOptions!$B$1:$R$89,6,FALSE)</f>
        <v>TAUD0I7_ALT3_IN, TAUD0I6_ALT5_IN, DIO</v>
      </c>
      <c r="AE122" s="6" t="str">
        <f>VLOOKUP(H122,PortConfigOptions!$B$1:$R$89,7,FALSE)</f>
        <v>PORT_PIN_OUT, PORT_PIN_IN</v>
      </c>
      <c r="AF122" s="6" t="str">
        <f>VLOOKUP(H122,PortConfigOptions!$B$1:$R$89,8,FALSE)</f>
        <v>TRUE, FALSE</v>
      </c>
      <c r="AG122" s="6" t="str">
        <f>VLOOKUP(H122,PortConfigOptions!$B$1:$R$89,9,FALSE)</f>
        <v>TRUE, FALSE</v>
      </c>
      <c r="AH122" s="6">
        <f>VLOOKUP(H122,PortConfigOptions!$B$1:$R$89,10,FALSE)</f>
        <v>0</v>
      </c>
      <c r="AI122" s="6" t="str">
        <f>VLOOKUP(H122,PortConfigOptions!$B$1:$R$89,11,FALSE)</f>
        <v>TRUE, FALSE</v>
      </c>
      <c r="AJ122" s="6" t="str">
        <f>VLOOKUP(H122,PortConfigOptions!$B$1:$R$89,12,FALSE)</f>
        <v>TRUE, FALSE</v>
      </c>
      <c r="AK122" s="6" t="str">
        <f>VLOOKUP(H122,PortConfigOptions!$B$1:$R$89,13,FALSE)</f>
        <v>OpenDrain_PushPull, OpenDrain_N_Channel, OpenDrain_P_Channel</v>
      </c>
      <c r="AL122" s="6" t="str">
        <f>VLOOKUP(H122,PortConfigOptions!$B$1:$R$89,14,FALSE)</f>
        <v>TRUE, FALSE</v>
      </c>
      <c r="AM122" s="6" t="str">
        <f>VLOOKUP(H122,PortConfigOptions!$B$1:$R$89,15,FALSE)</f>
        <v>SLOW, FAST, MIDDLE_0, MIDDLE_1</v>
      </c>
      <c r="AN122" s="6" t="str">
        <f>VLOOKUP(H122,PortConfigOptions!$B$1:$R$89,16,FALSE)</f>
        <v>SLOW, FAST, MIDDLE</v>
      </c>
      <c r="AO122" s="6">
        <f>VLOOKUP(H122,PortConfigOptions!$B$1:$R$89,17,FALSE)</f>
        <v>0</v>
      </c>
      <c r="AR122" s="20"/>
      <c r="AV122" s="6" t="s">
        <v>160</v>
      </c>
    </row>
    <row r="123" spans="1:48" x14ac:dyDescent="0.25">
      <c r="A123" s="6">
        <v>65</v>
      </c>
      <c r="B123" s="7">
        <v>56</v>
      </c>
      <c r="D123" s="7" t="s">
        <v>133</v>
      </c>
      <c r="E123" s="7" t="s">
        <v>484</v>
      </c>
      <c r="F123" s="7" t="s">
        <v>245</v>
      </c>
      <c r="G123" s="7" t="s">
        <v>134</v>
      </c>
      <c r="H123" s="6" t="s">
        <v>326</v>
      </c>
      <c r="I123" s="6" t="b">
        <v>0</v>
      </c>
      <c r="J123" s="6" t="b">
        <v>0</v>
      </c>
      <c r="K123" s="6" t="b">
        <v>0</v>
      </c>
      <c r="L123" s="6" t="s">
        <v>699</v>
      </c>
      <c r="M123" s="7" t="s">
        <v>705</v>
      </c>
      <c r="N123" s="6" t="s">
        <v>735</v>
      </c>
      <c r="O123" s="7" t="b">
        <v>0</v>
      </c>
      <c r="P123" s="7" t="b">
        <v>0</v>
      </c>
      <c r="Q123" s="7" t="b">
        <v>0</v>
      </c>
      <c r="R123" s="7" t="b">
        <v>0</v>
      </c>
      <c r="S123" s="7" t="b">
        <v>0</v>
      </c>
      <c r="T123" s="7" t="s">
        <v>736</v>
      </c>
      <c r="U123" s="7" t="b">
        <v>0</v>
      </c>
      <c r="V123" s="6" t="s">
        <v>762</v>
      </c>
      <c r="W123" s="6" t="s">
        <v>762</v>
      </c>
      <c r="X123" s="19" t="s">
        <v>6</v>
      </c>
      <c r="Z123" s="6" t="str">
        <f>VLOOKUP(H123,PortConfigOptions!$B$1:$R$89,2,FALSE)</f>
        <v>TRUE, FALSE</v>
      </c>
      <c r="AA123" s="6" t="str">
        <f>VLOOKUP(H123,PortConfigOptions!$B$1:$R$89,3,FALSE)</f>
        <v>TRUE, FALSE</v>
      </c>
      <c r="AB123" s="6" t="str">
        <f>VLOOKUP(H123,PortConfigOptions!$B$1:$R$89,4,FALSE)</f>
        <v>TRUE, FALSE</v>
      </c>
      <c r="AC123" s="6" t="str">
        <f>VLOOKUP(H123,PortConfigOptions!$B$1:$R$89,5,FALSE)</f>
        <v>PORT_PIN_LEVEL_LOW, PORT_PIN_LEVEL_HIGH</v>
      </c>
      <c r="AD123" s="6" t="str">
        <f>VLOOKUP(H123,PortConfigOptions!$B$1:$R$89,6,FALSE)</f>
        <v>CSIG0SCI_ALT1_IN, CSIG0SCO_ALT1_OUT, TAUD0ODI4_ALT2_IN, TAUD0O4_ALT2_OUT, TAUD0I5_ALT3_IN, ADCD0CNV1_ALT3_OUT, TAUD0ODI5_ALT4_IN, TAUD0O5_ALT4_OUT, TAUD0I4_ALT5_IN, CSIH2CSS3_ALT5_OUT, SCI30SCI_ALT6_IN, SCI30SCO_ALT6_OUT, DIO</v>
      </c>
      <c r="AE123" s="6" t="str">
        <f>VLOOKUP(H123,PortConfigOptions!$B$1:$R$89,7,FALSE)</f>
        <v>PORT_PIN_OUT, PORT_PIN_IN</v>
      </c>
      <c r="AF123" s="6" t="str">
        <f>VLOOKUP(H123,PortConfigOptions!$B$1:$R$89,8,FALSE)</f>
        <v>TRUE, FALSE</v>
      </c>
      <c r="AG123" s="6" t="str">
        <f>VLOOKUP(H123,PortConfigOptions!$B$1:$R$89,9,FALSE)</f>
        <v>TRUE, FALSE</v>
      </c>
      <c r="AH123" s="6" t="str">
        <f>VLOOKUP(H123,PortConfigOptions!$B$1:$R$89,10,FALSE)</f>
        <v>TRUE, FALSE</v>
      </c>
      <c r="AI123" s="6" t="str">
        <f>VLOOKUP(H123,PortConfigOptions!$B$1:$R$89,11,FALSE)</f>
        <v>TRUE, FALSE</v>
      </c>
      <c r="AJ123" s="6" t="str">
        <f>VLOOKUP(H123,PortConfigOptions!$B$1:$R$89,12,FALSE)</f>
        <v>TRUE, FALSE</v>
      </c>
      <c r="AK123" s="6" t="str">
        <f>VLOOKUP(H123,PortConfigOptions!$B$1:$R$89,13,FALSE)</f>
        <v>OpenDrain_PushPull, OpenDrain_N_Channel, OpenDrain_P_Channel</v>
      </c>
      <c r="AL123" s="6" t="str">
        <f>VLOOKUP(H123,PortConfigOptions!$B$1:$R$89,14,FALSE)</f>
        <v>TRUE, FALSE</v>
      </c>
      <c r="AM123" s="6" t="str">
        <f>VLOOKUP(H123,PortConfigOptions!$B$1:$R$89,15,FALSE)</f>
        <v>SLOW, FAST, MIDDLE_0, MIDDLE_1</v>
      </c>
      <c r="AN123" s="6" t="str">
        <f>VLOOKUP(H123,PortConfigOptions!$B$1:$R$89,16,FALSE)</f>
        <v>SLOW, FAST, MIDDLE</v>
      </c>
      <c r="AO123" s="6">
        <f>VLOOKUP(H123,PortConfigOptions!$B$1:$R$89,17,FALSE)</f>
        <v>0</v>
      </c>
      <c r="AV123" s="6" t="s">
        <v>135</v>
      </c>
    </row>
    <row r="124" spans="1:48" x14ac:dyDescent="0.25">
      <c r="A124" s="6">
        <v>77</v>
      </c>
      <c r="B124" s="7">
        <v>57</v>
      </c>
      <c r="D124" s="7" t="s">
        <v>372</v>
      </c>
      <c r="E124" s="7" t="s">
        <v>485</v>
      </c>
      <c r="F124" s="7" t="s">
        <v>246</v>
      </c>
      <c r="G124" s="7" t="s">
        <v>701</v>
      </c>
      <c r="H124" s="6" t="s">
        <v>330</v>
      </c>
      <c r="I124" s="6" t="b">
        <v>0</v>
      </c>
      <c r="J124" s="6" t="b">
        <v>0</v>
      </c>
      <c r="K124" s="6" t="b">
        <v>1</v>
      </c>
      <c r="L124" s="6" t="s">
        <v>749</v>
      </c>
      <c r="M124" s="7" t="s">
        <v>701</v>
      </c>
      <c r="N124" s="6" t="s">
        <v>734</v>
      </c>
      <c r="O124" s="7" t="b">
        <v>0</v>
      </c>
      <c r="P124" s="7" t="b">
        <v>1</v>
      </c>
      <c r="Q124" s="7" t="b">
        <v>0</v>
      </c>
      <c r="R124" s="7" t="b">
        <v>0</v>
      </c>
      <c r="S124" s="7" t="b">
        <v>0</v>
      </c>
      <c r="T124" s="7" t="s">
        <v>737</v>
      </c>
      <c r="U124" s="7" t="b">
        <v>0</v>
      </c>
      <c r="V124" s="6" t="s">
        <v>762</v>
      </c>
      <c r="W124" s="6" t="s">
        <v>762</v>
      </c>
      <c r="X124" s="19" t="s">
        <v>6</v>
      </c>
      <c r="Z124" s="6" t="str">
        <f>VLOOKUP(H124,PortConfigOptions!$B$1:$R$89,2,FALSE)</f>
        <v>TRUE, FALSE</v>
      </c>
      <c r="AA124" s="6" t="str">
        <f>VLOOKUP(H124,PortConfigOptions!$B$1:$R$89,3,FALSE)</f>
        <v>TRUE, FALSE</v>
      </c>
      <c r="AB124" s="6" t="str">
        <f>VLOOKUP(H124,PortConfigOptions!$B$1:$R$89,4,FALSE)</f>
        <v>TRUE, FALSE</v>
      </c>
      <c r="AC124" s="6" t="str">
        <f>VLOOKUP(H124,PortConfigOptions!$B$1:$R$89,5,FALSE)</f>
        <v>PORT_PIN_LEVEL_LOW, PORT_PIN_LEVEL_HIGH</v>
      </c>
      <c r="AD124" s="6" t="str">
        <f>VLOOKUP(H124,PortConfigOptions!$B$1:$R$89,6,FALSE)</f>
        <v>SENT0RX_ALT1_IN, SENT0SPCO_ALT1_OUT, TAUD0ODI6_ALT2_IN, TAUD0O6_ALT2_OUT, TAUD0I7_ALT3_IN, ADCD0CNV2_ALT3_OUT, TAUD0ODI7_ALT4_IN, TAUD0O7_ALT4_OUT, TAUD0I6_ALT5_IN, CSIH2CSS4_ALT5_OUT, SCI31RX_ALT6_IN, INT1_ALT6_IN, DIO</v>
      </c>
      <c r="AE124" s="6" t="str">
        <f>VLOOKUP(H124,PortConfigOptions!$B$1:$R$89,7,FALSE)</f>
        <v>PORT_PIN_OUT, PORT_PIN_IN</v>
      </c>
      <c r="AF124" s="6" t="str">
        <f>VLOOKUP(H124,PortConfigOptions!$B$1:$R$89,8,FALSE)</f>
        <v>TRUE, FALSE</v>
      </c>
      <c r="AG124" s="6" t="str">
        <f>VLOOKUP(H124,PortConfigOptions!$B$1:$R$89,9,FALSE)</f>
        <v>TRUE, FALSE</v>
      </c>
      <c r="AH124" s="6" t="str">
        <f>VLOOKUP(H124,PortConfigOptions!$B$1:$R$89,10,FALSE)</f>
        <v>TRUE, FALSE</v>
      </c>
      <c r="AI124" s="6" t="str">
        <f>VLOOKUP(H124,PortConfigOptions!$B$1:$R$89,11,FALSE)</f>
        <v>TRUE, FALSE</v>
      </c>
      <c r="AJ124" s="6" t="str">
        <f>VLOOKUP(H124,PortConfigOptions!$B$1:$R$89,12,FALSE)</f>
        <v>TRUE, FALSE</v>
      </c>
      <c r="AK124" s="6" t="str">
        <f>VLOOKUP(H124,PortConfigOptions!$B$1:$R$89,13,FALSE)</f>
        <v>OpenDrain_PushPull, OpenDrain_N_Channel, OpenDrain_P_Channel</v>
      </c>
      <c r="AL124" s="6" t="str">
        <f>VLOOKUP(H124,PortConfigOptions!$B$1:$R$89,14,FALSE)</f>
        <v>TRUE, FALSE</v>
      </c>
      <c r="AM124" s="6" t="str">
        <f>VLOOKUP(H124,PortConfigOptions!$B$1:$R$89,15,FALSE)</f>
        <v>SLOW, FAST, MIDDLE_0, MIDDLE_1</v>
      </c>
      <c r="AN124" s="6" t="str">
        <f>VLOOKUP(H124,PortConfigOptions!$B$1:$R$89,16,FALSE)</f>
        <v>SLOW, FAST, MIDDLE</v>
      </c>
      <c r="AO124" s="6">
        <f>VLOOKUP(H124,PortConfigOptions!$B$1:$R$89,17,FALSE)</f>
        <v>0</v>
      </c>
      <c r="AV124" s="6" t="s">
        <v>163</v>
      </c>
    </row>
    <row r="125" spans="1:48" x14ac:dyDescent="0.25">
      <c r="A125" s="6">
        <v>72</v>
      </c>
      <c r="B125" s="7">
        <v>58</v>
      </c>
      <c r="D125" s="7" t="s">
        <v>486</v>
      </c>
      <c r="E125" s="7" t="s">
        <v>487</v>
      </c>
      <c r="F125" s="7" t="s">
        <v>701</v>
      </c>
      <c r="G125" s="6" t="s">
        <v>329</v>
      </c>
      <c r="H125" s="6" t="s">
        <v>329</v>
      </c>
      <c r="I125" s="6" t="b">
        <v>0</v>
      </c>
      <c r="J125" s="6" t="b">
        <v>0</v>
      </c>
      <c r="K125" s="6" t="b">
        <v>0</v>
      </c>
      <c r="L125" s="6" t="s">
        <v>699</v>
      </c>
      <c r="M125" s="7" t="s">
        <v>701</v>
      </c>
      <c r="N125" s="6" t="s">
        <v>734</v>
      </c>
      <c r="O125" s="6" t="b">
        <v>1</v>
      </c>
      <c r="P125" s="7" t="b">
        <v>0</v>
      </c>
      <c r="Q125" s="7" t="b">
        <v>0</v>
      </c>
      <c r="R125" s="7" t="b">
        <v>0</v>
      </c>
      <c r="S125" s="7" t="b">
        <v>0</v>
      </c>
      <c r="T125" s="7" t="s">
        <v>737</v>
      </c>
      <c r="U125" s="7" t="b">
        <v>0</v>
      </c>
      <c r="V125" s="6" t="s">
        <v>762</v>
      </c>
      <c r="W125" s="6" t="s">
        <v>762</v>
      </c>
      <c r="X125" s="19" t="s">
        <v>6</v>
      </c>
      <c r="Z125" s="6" t="str">
        <f>VLOOKUP(H125,PortConfigOptions!$B$1:$R$89,2,FALSE)</f>
        <v>TRUE, FALSE</v>
      </c>
      <c r="AA125" s="6" t="str">
        <f>VLOOKUP(H125,PortConfigOptions!$B$1:$R$89,3,FALSE)</f>
        <v>TRUE, FALSE</v>
      </c>
      <c r="AB125" s="6" t="str">
        <f>VLOOKUP(H125,PortConfigOptions!$B$1:$R$89,4,FALSE)</f>
        <v>TRUE, FALSE</v>
      </c>
      <c r="AC125" s="6" t="str">
        <f>VLOOKUP(H125,PortConfigOptions!$B$1:$R$89,5,FALSE)</f>
        <v>PORT_PIN_LEVEL_LOW, PORT_PIN_LEVEL_HIGH</v>
      </c>
      <c r="AD125" s="6" t="str">
        <f>VLOOKUP(H125,PortConfigOptions!$B$1:$R$89,6,FALSE)</f>
        <v>INTP10_ALT1_IN, SENT0SPCO_ALT1_OUT, TAUD0ODI8_ALT2_IN, TAUD0O8_ALT2_OUT, TAUD0I9_ALT3_IN, ADCD0CNV3_ALT3_OUT, TAUD0ODI9_ALT4_IN, TAUD0O9_ALT4_OUT, TAUD0I8_ALT5_IN, CSIH2CSS5_ALT5_OUT, SCI31TX_ALT6_OUT, DIO</v>
      </c>
      <c r="AE125" s="6" t="str">
        <f>VLOOKUP(H125,PortConfigOptions!$B$1:$R$89,7,FALSE)</f>
        <v>PORT_PIN_OUT, PORT_PIN_IN</v>
      </c>
      <c r="AF125" s="6" t="str">
        <f>VLOOKUP(H125,PortConfigOptions!$B$1:$R$89,8,FALSE)</f>
        <v>TRUE, FALSE</v>
      </c>
      <c r="AG125" s="6" t="str">
        <f>VLOOKUP(H125,PortConfigOptions!$B$1:$R$89,9,FALSE)</f>
        <v>TRUE, FALSE</v>
      </c>
      <c r="AH125" s="6" t="str">
        <f>VLOOKUP(H125,PortConfigOptions!$B$1:$R$89,10,FALSE)</f>
        <v>TRUE, FALSE</v>
      </c>
      <c r="AI125" s="6" t="str">
        <f>VLOOKUP(H125,PortConfigOptions!$B$1:$R$89,11,FALSE)</f>
        <v>TRUE, FALSE</v>
      </c>
      <c r="AJ125" s="6" t="str">
        <f>VLOOKUP(H125,PortConfigOptions!$B$1:$R$89,12,FALSE)</f>
        <v>TRUE, FALSE</v>
      </c>
      <c r="AK125" s="6" t="str">
        <f>VLOOKUP(H125,PortConfigOptions!$B$1:$R$89,13,FALSE)</f>
        <v>OpenDrain_PushPull, OpenDrain_N_Channel, OpenDrain_P_Channel</v>
      </c>
      <c r="AL125" s="6" t="str">
        <f>VLOOKUP(H125,PortConfigOptions!$B$1:$R$89,14,FALSE)</f>
        <v>TRUE, FALSE</v>
      </c>
      <c r="AM125" s="6" t="str">
        <f>VLOOKUP(H125,PortConfigOptions!$B$1:$R$89,15,FALSE)</f>
        <v>SLOW, FAST, MIDDLE_0, MIDDLE_1</v>
      </c>
      <c r="AN125" s="6" t="str">
        <f>VLOOKUP(H125,PortConfigOptions!$B$1:$R$89,16,FALSE)</f>
        <v>SLOW, FAST, MIDDLE</v>
      </c>
      <c r="AO125" s="6">
        <f>VLOOKUP(H125,PortConfigOptions!$B$1:$R$89,17,FALSE)</f>
        <v>0</v>
      </c>
      <c r="AV125" s="6" t="s">
        <v>152</v>
      </c>
    </row>
    <row r="126" spans="1:48" x14ac:dyDescent="0.25">
      <c r="A126" s="6">
        <v>69</v>
      </c>
      <c r="B126" s="7">
        <v>59</v>
      </c>
      <c r="D126" s="7" t="s">
        <v>489</v>
      </c>
      <c r="E126" s="7" t="s">
        <v>488</v>
      </c>
      <c r="F126" s="7" t="s">
        <v>701</v>
      </c>
      <c r="G126" s="7" t="s">
        <v>145</v>
      </c>
      <c r="H126" s="6" t="s">
        <v>145</v>
      </c>
      <c r="I126" s="6" t="b">
        <v>0</v>
      </c>
      <c r="J126" s="6" t="b">
        <v>0</v>
      </c>
      <c r="K126" s="6" t="b">
        <v>0</v>
      </c>
      <c r="L126" s="6" t="s">
        <v>699</v>
      </c>
      <c r="M126" s="7" t="s">
        <v>701</v>
      </c>
      <c r="N126" s="6" t="s">
        <v>734</v>
      </c>
      <c r="O126" s="6" t="b">
        <v>1</v>
      </c>
      <c r="P126" s="7" t="b">
        <v>0</v>
      </c>
      <c r="Q126" s="7" t="b">
        <v>0</v>
      </c>
      <c r="R126" s="7" t="b">
        <v>0</v>
      </c>
      <c r="S126" s="7" t="b">
        <v>0</v>
      </c>
      <c r="T126" s="7" t="s">
        <v>737</v>
      </c>
      <c r="U126" s="7" t="b">
        <v>0</v>
      </c>
      <c r="V126" s="6" t="s">
        <v>762</v>
      </c>
      <c r="W126" s="6" t="s">
        <v>762</v>
      </c>
      <c r="X126" s="19" t="s">
        <v>6</v>
      </c>
      <c r="Z126" s="6" t="str">
        <f>VLOOKUP(H126,PortConfigOptions!$B$1:$R$89,2,FALSE)</f>
        <v>TRUE, FALSE</v>
      </c>
      <c r="AA126" s="6" t="str">
        <f>VLOOKUP(H126,PortConfigOptions!$B$1:$R$89,3,FALSE)</f>
        <v>TRUE, FALSE</v>
      </c>
      <c r="AB126" s="6" t="str">
        <f>VLOOKUP(H126,PortConfigOptions!$B$1:$R$89,4,FALSE)</f>
        <v>TRUE, FALSE</v>
      </c>
      <c r="AC126" s="6" t="str">
        <f>VLOOKUP(H126,PortConfigOptions!$B$1:$R$89,5,FALSE)</f>
        <v>PORT_PIN_LEVEL_LOW, PORT_PIN_LEVEL_HIGH</v>
      </c>
      <c r="AD126" s="6" t="str">
        <f>VLOOKUP(H126,PortConfigOptions!$B$1:$R$89,6,FALSE)</f>
        <v>TAUD0ODI10_ALT2_IN, TAUD0O10_ALT2_OUT, TAUD0I11_ALT3_IN, ADCD0CNV4_ALT3_OUT, TAUD0ODI11_ALT4_OIN, TAUD0O11_ALT4_OUT, TAUD0I10_ALT5_IN, CSIH2CSS6_ALT5_OUT, SCI31SCI_ALT6_IN, SCI31SCO_ALT6_OUT, DIO</v>
      </c>
      <c r="AE126" s="6" t="str">
        <f>VLOOKUP(H126,PortConfigOptions!$B$1:$R$89,7,FALSE)</f>
        <v>PORT_PIN_OUT, PORT_PIN_IN</v>
      </c>
      <c r="AF126" s="6" t="str">
        <f>VLOOKUP(H126,PortConfigOptions!$B$1:$R$89,8,FALSE)</f>
        <v>TRUE, FALSE</v>
      </c>
      <c r="AG126" s="6" t="str">
        <f>VLOOKUP(H126,PortConfigOptions!$B$1:$R$89,9,FALSE)</f>
        <v>TRUE, FALSE</v>
      </c>
      <c r="AH126" s="6" t="str">
        <f>VLOOKUP(H126,PortConfigOptions!$B$1:$R$89,10,FALSE)</f>
        <v>TRUE, FALSE</v>
      </c>
      <c r="AI126" s="6" t="str">
        <f>VLOOKUP(H126,PortConfigOptions!$B$1:$R$89,11,FALSE)</f>
        <v>TRUE, FALSE</v>
      </c>
      <c r="AJ126" s="6" t="str">
        <f>VLOOKUP(H126,PortConfigOptions!$B$1:$R$89,12,FALSE)</f>
        <v>TRUE, FALSE</v>
      </c>
      <c r="AK126" s="6" t="str">
        <f>VLOOKUP(H126,PortConfigOptions!$B$1:$R$89,13,FALSE)</f>
        <v>OpenDrain_PushPull, OpenDrain_N_Channel, OpenDrain_P_Channel</v>
      </c>
      <c r="AL126" s="6" t="str">
        <f>VLOOKUP(H126,PortConfigOptions!$B$1:$R$89,14,FALSE)</f>
        <v>TRUE, FALSE</v>
      </c>
      <c r="AM126" s="6" t="str">
        <f>VLOOKUP(H126,PortConfigOptions!$B$1:$R$89,15,FALSE)</f>
        <v>SLOW, FAST, MIDDLE_0, MIDDLE_1</v>
      </c>
      <c r="AN126" s="6" t="str">
        <f>VLOOKUP(H126,PortConfigOptions!$B$1:$R$89,16,FALSE)</f>
        <v>SLOW, FAST, MIDDLE</v>
      </c>
      <c r="AO126" s="6">
        <f>VLOOKUP(H126,PortConfigOptions!$B$1:$R$89,17,FALSE)</f>
        <v>0</v>
      </c>
      <c r="AV126" s="6" t="s">
        <v>146</v>
      </c>
    </row>
    <row r="127" spans="1:48" x14ac:dyDescent="0.25">
      <c r="A127" s="6">
        <v>78</v>
      </c>
      <c r="B127" s="7">
        <v>62</v>
      </c>
      <c r="D127" s="7" t="s">
        <v>162</v>
      </c>
      <c r="E127" s="7" t="s">
        <v>490</v>
      </c>
      <c r="F127" s="7" t="s">
        <v>247</v>
      </c>
      <c r="G127" s="7" t="s">
        <v>701</v>
      </c>
      <c r="H127" s="6" t="s">
        <v>331</v>
      </c>
      <c r="I127" s="6" t="b">
        <v>0</v>
      </c>
      <c r="J127" s="6" t="b">
        <v>0</v>
      </c>
      <c r="K127" s="6" t="b">
        <v>1</v>
      </c>
      <c r="L127" s="6" t="s">
        <v>749</v>
      </c>
      <c r="M127" s="7" t="s">
        <v>701</v>
      </c>
      <c r="N127" s="6" t="s">
        <v>734</v>
      </c>
      <c r="O127" s="7" t="b">
        <v>0</v>
      </c>
      <c r="P127" s="7" t="b">
        <v>1</v>
      </c>
      <c r="Q127" s="7" t="b">
        <v>0</v>
      </c>
      <c r="R127" s="7" t="b">
        <v>0</v>
      </c>
      <c r="S127" s="7" t="b">
        <v>0</v>
      </c>
      <c r="T127" s="7" t="s">
        <v>737</v>
      </c>
      <c r="U127" s="7" t="b">
        <v>0</v>
      </c>
      <c r="V127" s="6" t="s">
        <v>762</v>
      </c>
      <c r="W127" s="6" t="s">
        <v>762</v>
      </c>
      <c r="X127" s="19" t="s">
        <v>6</v>
      </c>
      <c r="Z127" s="6" t="str">
        <f>VLOOKUP(H127,PortConfigOptions!$B$1:$R$89,2,FALSE)</f>
        <v>TRUE, FALSE</v>
      </c>
      <c r="AA127" s="6" t="str">
        <f>VLOOKUP(H127,PortConfigOptions!$B$1:$R$89,3,FALSE)</f>
        <v>TRUE, FALSE</v>
      </c>
      <c r="AB127" s="6" t="str">
        <f>VLOOKUP(H127,PortConfigOptions!$B$1:$R$89,4,FALSE)</f>
        <v>TRUE, FALSE</v>
      </c>
      <c r="AC127" s="6" t="str">
        <f>VLOOKUP(H127,PortConfigOptions!$B$1:$R$89,5,FALSE)</f>
        <v>PORT_PIN_LEVEL_LOW, PORT_PIN_LEVEL_HIGH</v>
      </c>
      <c r="AD127" s="6" t="str">
        <f>VLOOKUP(H127,PortConfigOptions!$B$1:$R$89,6,FALSE)</f>
        <v>SENT1RX_ALT1_IN, SENT1SPCO_ALT1_OUT, TAUD0ODI12_ALT2_IN, TAUD0O12_ALT2_OUT, TAUD0I13_ALT3_IN, TAUD0ODI13_ALT4_IN, TAUD0O13_ALT4_OUT, TAUD0I12_ALT5_IN, CSIH2CSS7_ALT5_OUT, SCI32RX_ALT6_IN, INTP2_ALT6_IN, DIO</v>
      </c>
      <c r="AE127" s="6" t="str">
        <f>VLOOKUP(H127,PortConfigOptions!$B$1:$R$89,7,FALSE)</f>
        <v>PORT_PIN_OUT, PORT_PIN_IN</v>
      </c>
      <c r="AF127" s="6" t="str">
        <f>VLOOKUP(H127,PortConfigOptions!$B$1:$R$89,8,FALSE)</f>
        <v>TRUE, FALSE</v>
      </c>
      <c r="AG127" s="6" t="str">
        <f>VLOOKUP(H127,PortConfigOptions!$B$1:$R$89,9,FALSE)</f>
        <v>TRUE, FALSE</v>
      </c>
      <c r="AH127" s="6" t="str">
        <f>VLOOKUP(H127,PortConfigOptions!$B$1:$R$89,10,FALSE)</f>
        <v>TRUE, FALSE</v>
      </c>
      <c r="AI127" s="6" t="str">
        <f>VLOOKUP(H127,PortConfigOptions!$B$1:$R$89,11,FALSE)</f>
        <v>TRUE, FALSE</v>
      </c>
      <c r="AJ127" s="6" t="str">
        <f>VLOOKUP(H127,PortConfigOptions!$B$1:$R$89,12,FALSE)</f>
        <v>TRUE, FALSE</v>
      </c>
      <c r="AK127" s="6" t="str">
        <f>VLOOKUP(H127,PortConfigOptions!$B$1:$R$89,13,FALSE)</f>
        <v>OpenDrain_PushPull, OpenDrain_N_Channel, OpenDrain_P_Channel</v>
      </c>
      <c r="AL127" s="6" t="str">
        <f>VLOOKUP(H127,PortConfigOptions!$B$1:$R$89,14,FALSE)</f>
        <v>TRUE, FALSE</v>
      </c>
      <c r="AM127" s="6" t="str">
        <f>VLOOKUP(H127,PortConfigOptions!$B$1:$R$89,15,FALSE)</f>
        <v>SLOW, FAST, MIDDLE_0, MIDDLE_1</v>
      </c>
      <c r="AN127" s="6" t="str">
        <f>VLOOKUP(H127,PortConfigOptions!$B$1:$R$89,16,FALSE)</f>
        <v>SLOW, FAST, MIDDLE</v>
      </c>
      <c r="AO127" s="6">
        <f>VLOOKUP(H127,PortConfigOptions!$B$1:$R$89,17,FALSE)</f>
        <v>0</v>
      </c>
      <c r="AV127" s="6" t="s">
        <v>165</v>
      </c>
    </row>
    <row r="128" spans="1:48" x14ac:dyDescent="0.25">
      <c r="A128" s="6">
        <v>68</v>
      </c>
      <c r="B128" s="7">
        <v>63</v>
      </c>
      <c r="D128" s="7" t="s">
        <v>142</v>
      </c>
      <c r="E128" s="7" t="s">
        <v>491</v>
      </c>
      <c r="F128" s="7" t="s">
        <v>701</v>
      </c>
      <c r="G128" s="7" t="s">
        <v>143</v>
      </c>
      <c r="H128" s="6" t="s">
        <v>143</v>
      </c>
      <c r="I128" s="6" t="b">
        <v>0</v>
      </c>
      <c r="J128" s="6" t="b">
        <v>0</v>
      </c>
      <c r="K128" s="6" t="b">
        <v>0</v>
      </c>
      <c r="L128" s="7" t="s">
        <v>749</v>
      </c>
      <c r="M128" s="7" t="s">
        <v>701</v>
      </c>
      <c r="N128" s="6" t="s">
        <v>735</v>
      </c>
      <c r="O128" s="6" t="b">
        <v>0</v>
      </c>
      <c r="P128" s="7" t="b">
        <v>0</v>
      </c>
      <c r="Q128" s="7" t="b">
        <v>0</v>
      </c>
      <c r="R128" s="7" t="b">
        <v>0</v>
      </c>
      <c r="S128" s="7" t="b">
        <v>0</v>
      </c>
      <c r="T128" s="7" t="s">
        <v>736</v>
      </c>
      <c r="U128" s="7" t="b">
        <v>0</v>
      </c>
      <c r="V128" s="6" t="s">
        <v>762</v>
      </c>
      <c r="W128" s="6" t="s">
        <v>762</v>
      </c>
      <c r="X128" s="19" t="s">
        <v>6</v>
      </c>
      <c r="Z128" s="6" t="str">
        <f>VLOOKUP(H128,PortConfigOptions!$B$1:$R$89,2,FALSE)</f>
        <v>TRUE, FALSE</v>
      </c>
      <c r="AA128" s="6" t="str">
        <f>VLOOKUP(H128,PortConfigOptions!$B$1:$R$89,3,FALSE)</f>
        <v>TRUE, FALSE</v>
      </c>
      <c r="AB128" s="6" t="str">
        <f>VLOOKUP(H128,PortConfigOptions!$B$1:$R$89,4,FALSE)</f>
        <v>TRUE, FALSE</v>
      </c>
      <c r="AC128" s="6" t="str">
        <f>VLOOKUP(H128,PortConfigOptions!$B$1:$R$89,5,FALSE)</f>
        <v>PORT_PIN_LEVEL_LOW, PORT_PIN_LEVEL_HIGH</v>
      </c>
      <c r="AD128" s="6" t="str">
        <f>VLOOKUP(H128,PortConfigOptions!$B$1:$R$89,6,FALSE)</f>
        <v>TAUD0I14_ALT1_IN, SENT1SPCO_ALT1_OUT, TAUD0ODI14_ALT2_IN, TAUD0O14_ALT2_OUT, TAUD0I15_ALT3_IN, TAUD0ODI15_ALT4_IN, TAUD0O15_ALT4_OUT, PSI51DIN_ALT5_IN, SCI32TX_ALT6_OUT, DIO</v>
      </c>
      <c r="AE128" s="6" t="str">
        <f>VLOOKUP(H128,PortConfigOptions!$B$1:$R$89,7,FALSE)</f>
        <v>PORT_PIN_OUT, PORT_PIN_IN</v>
      </c>
      <c r="AF128" s="6" t="str">
        <f>VLOOKUP(H128,PortConfigOptions!$B$1:$R$89,8,FALSE)</f>
        <v>TRUE, FALSE</v>
      </c>
      <c r="AG128" s="6" t="str">
        <f>VLOOKUP(H128,PortConfigOptions!$B$1:$R$89,9,FALSE)</f>
        <v>TRUE, FALSE</v>
      </c>
      <c r="AH128" s="6" t="str">
        <f>VLOOKUP(H128,PortConfigOptions!$B$1:$R$89,10,FALSE)</f>
        <v>TRUE, FALSE</v>
      </c>
      <c r="AI128" s="6" t="str">
        <f>VLOOKUP(H128,PortConfigOptions!$B$1:$R$89,11,FALSE)</f>
        <v>TRUE, FALSE</v>
      </c>
      <c r="AJ128" s="6" t="str">
        <f>VLOOKUP(H128,PortConfigOptions!$B$1:$R$89,12,FALSE)</f>
        <v>TRUE, FALSE</v>
      </c>
      <c r="AK128" s="6" t="str">
        <f>VLOOKUP(H128,PortConfigOptions!$B$1:$R$89,13,FALSE)</f>
        <v>OpenDrain_PushPull, OpenDrain_N_Channel, OpenDrain_P_Channel</v>
      </c>
      <c r="AL128" s="6" t="str">
        <f>VLOOKUP(H128,PortConfigOptions!$B$1:$R$89,14,FALSE)</f>
        <v>TRUE, FALSE</v>
      </c>
      <c r="AM128" s="6" t="str">
        <f>VLOOKUP(H128,PortConfigOptions!$B$1:$R$89,15,FALSE)</f>
        <v>SLOW, FAST, MIDDLE_0, MIDDLE_1</v>
      </c>
      <c r="AN128" s="6" t="str">
        <f>VLOOKUP(H128,PortConfigOptions!$B$1:$R$89,16,FALSE)</f>
        <v>SLOW, FAST, MIDDLE</v>
      </c>
      <c r="AO128" s="6">
        <f>VLOOKUP(H128,PortConfigOptions!$B$1:$R$89,17,FALSE)</f>
        <v>0</v>
      </c>
      <c r="AV128" s="6" t="s">
        <v>144</v>
      </c>
    </row>
    <row r="129" spans="1:48" x14ac:dyDescent="0.25">
      <c r="A129" s="6">
        <v>119</v>
      </c>
      <c r="B129" s="7">
        <v>94</v>
      </c>
      <c r="D129" s="7" t="s">
        <v>207</v>
      </c>
      <c r="E129" s="7" t="s">
        <v>6</v>
      </c>
      <c r="F129" s="7" t="s">
        <v>251</v>
      </c>
      <c r="G129" s="7" t="s">
        <v>208</v>
      </c>
      <c r="H129" s="6" t="s">
        <v>683</v>
      </c>
      <c r="I129" s="6" t="b">
        <v>0</v>
      </c>
      <c r="J129" s="6" t="b">
        <v>0</v>
      </c>
      <c r="K129" s="6" t="b">
        <v>0</v>
      </c>
      <c r="L129" s="6" t="s">
        <v>699</v>
      </c>
      <c r="M129" s="7" t="s">
        <v>694</v>
      </c>
      <c r="N129" s="7" t="s">
        <v>734</v>
      </c>
      <c r="O129" s="6" t="b">
        <v>0</v>
      </c>
      <c r="P129" s="7" t="b">
        <v>0</v>
      </c>
      <c r="Q129" s="19" t="s">
        <v>6</v>
      </c>
      <c r="R129" s="7" t="b">
        <v>0</v>
      </c>
      <c r="S129" s="7" t="b">
        <v>0</v>
      </c>
      <c r="T129" s="7" t="s">
        <v>752</v>
      </c>
      <c r="U129" s="19" t="s">
        <v>6</v>
      </c>
      <c r="V129" s="6" t="s">
        <v>762</v>
      </c>
      <c r="W129" s="6" t="s">
        <v>762</v>
      </c>
      <c r="X129" s="7" t="s">
        <v>748</v>
      </c>
      <c r="Z129" s="6" t="str">
        <f>VLOOKUP(H129,PortConfigOptions!$B$1:$R$89,2,FALSE)</f>
        <v>TRUE, FALSE</v>
      </c>
      <c r="AA129" s="6" t="str">
        <f>VLOOKUP(H129,PortConfigOptions!$B$1:$R$89,3,FALSE)</f>
        <v>TRUE, FALSE</v>
      </c>
      <c r="AB129" s="6" t="str">
        <f>VLOOKUP(H129,PortConfigOptions!$B$1:$R$89,4,FALSE)</f>
        <v>TRUE, FALSE</v>
      </c>
      <c r="AC129" s="6" t="str">
        <f>VLOOKUP(H129,PortConfigOptions!$B$1:$R$89,5,FALSE)</f>
        <v>PORT_PIN_LEVEL_LOW, PORT_PIN_LEVEL_HIGH</v>
      </c>
      <c r="AD129" s="6" t="str">
        <f>VLOOKUP(H129,PortConfigOptions!$B$1:$R$89,6,FALSE)</f>
        <v>FLS3RXD_ALT3_IN_SUPP_PFCE_PMCSR, FLS3TXD_ALT3_OUT_SUPP_PFCE_PMCSR, DIO_SUPP_PFCE_PMCSR</v>
      </c>
      <c r="AE129" s="6" t="str">
        <f>VLOOKUP(H129,PortConfigOptions!$B$1:$R$89,7,FALSE)</f>
        <v>PORT_PIN_OUT, PORT_PIN_IN</v>
      </c>
      <c r="AF129" s="6" t="str">
        <f>VLOOKUP(H129,PortConfigOptions!$B$1:$R$89,8,FALSE)</f>
        <v>TRUE, FALSE</v>
      </c>
      <c r="AG129" s="6" t="str">
        <f>VLOOKUP(H129,PortConfigOptions!$B$1:$R$89,9,FALSE)</f>
        <v>TRUE, FALSE</v>
      </c>
      <c r="AH129" s="6">
        <f>VLOOKUP(H129,PortConfigOptions!$B$1:$R$89,10,FALSE)</f>
        <v>0</v>
      </c>
      <c r="AI129" s="6" t="str">
        <f>VLOOKUP(H129,PortConfigOptions!$B$1:$R$89,11,FALSE)</f>
        <v>TRUE, FALSE</v>
      </c>
      <c r="AJ129" s="6" t="str">
        <f>VLOOKUP(H129,PortConfigOptions!$B$1:$R$89,12,FALSE)</f>
        <v>TRUE, FALSE</v>
      </c>
      <c r="AK129" s="6" t="str">
        <f>VLOOKUP(H129,PortConfigOptions!$B$1:$R$89,13,FALSE)</f>
        <v>OpenDrain_PushPull_SUPP_PODC, OpenDrain_N_Channel_SUPP_PODC, OpenDrain_P_Channel_SUPP_PODC</v>
      </c>
      <c r="AL129" s="6">
        <f>VLOOKUP(H129,PortConfigOptions!$B$1:$R$89,14,FALSE)</f>
        <v>0</v>
      </c>
      <c r="AM129" s="6" t="str">
        <f>VLOOKUP(H129,PortConfigOptions!$B$1:$R$89,15,FALSE)</f>
        <v>SLOW, FAST, MIDDLE_0, MIDDLE_1</v>
      </c>
      <c r="AN129" s="6" t="str">
        <f>VLOOKUP(H129,PortConfigOptions!$B$1:$R$89,16,FALSE)</f>
        <v>SLOW, FAST, MIDDLE</v>
      </c>
      <c r="AO129" s="6" t="str">
        <f>VLOOKUP(H129,PortConfigOptions!$B$1:$R$89,17,FALSE)</f>
        <v>TYPE_1_SUPP_PISA, TYPE_2_SUPP_PISA</v>
      </c>
      <c r="AS129" s="7" t="s">
        <v>272</v>
      </c>
      <c r="AV129" s="6" t="s">
        <v>209</v>
      </c>
    </row>
    <row r="130" spans="1:48" x14ac:dyDescent="0.25">
      <c r="A130" s="6">
        <v>118</v>
      </c>
      <c r="B130" s="7">
        <v>93</v>
      </c>
      <c r="D130" s="7" t="s">
        <v>204</v>
      </c>
      <c r="E130" s="7" t="s">
        <v>6</v>
      </c>
      <c r="F130" s="7" t="s">
        <v>251</v>
      </c>
      <c r="G130" s="7" t="s">
        <v>205</v>
      </c>
      <c r="H130" s="6" t="s">
        <v>687</v>
      </c>
      <c r="I130" s="6" t="b">
        <v>0</v>
      </c>
      <c r="J130" s="6" t="b">
        <v>0</v>
      </c>
      <c r="K130" s="6" t="b">
        <v>0</v>
      </c>
      <c r="L130" s="6" t="s">
        <v>699</v>
      </c>
      <c r="M130" s="7" t="s">
        <v>694</v>
      </c>
      <c r="N130" s="7" t="s">
        <v>734</v>
      </c>
      <c r="O130" s="6" t="b">
        <v>0</v>
      </c>
      <c r="P130" s="7" t="b">
        <v>0</v>
      </c>
      <c r="Q130" s="19" t="s">
        <v>6</v>
      </c>
      <c r="R130" s="7" t="b">
        <v>0</v>
      </c>
      <c r="S130" s="7" t="b">
        <v>0</v>
      </c>
      <c r="T130" s="7" t="s">
        <v>752</v>
      </c>
      <c r="U130" s="19" t="s">
        <v>6</v>
      </c>
      <c r="V130" s="6" t="s">
        <v>762</v>
      </c>
      <c r="W130" s="6" t="s">
        <v>762</v>
      </c>
      <c r="X130" s="7" t="s">
        <v>748</v>
      </c>
      <c r="Z130" s="6" t="str">
        <f>VLOOKUP(H130,PortConfigOptions!$B$1:$R$89,2,FALSE)</f>
        <v>TRUE, FALSE</v>
      </c>
      <c r="AA130" s="6" t="str">
        <f>VLOOKUP(H130,PortConfigOptions!$B$1:$R$89,3,FALSE)</f>
        <v>TRUE, FALSE</v>
      </c>
      <c r="AB130" s="6" t="str">
        <f>VLOOKUP(H130,PortConfigOptions!$B$1:$R$89,4,FALSE)</f>
        <v>TRUE, FALSE</v>
      </c>
      <c r="AC130" s="6" t="str">
        <f>VLOOKUP(H130,PortConfigOptions!$B$1:$R$89,5,FALSE)</f>
        <v>PORT_PIN_LEVEL_LOW, PORT_PIN_LEVEL_HIGH</v>
      </c>
      <c r="AD130" s="6" t="str">
        <f>VLOOKUP(H130,PortConfigOptions!$B$1:$R$89,6,FALSE)</f>
        <v>FLS3TXD_ALT3_OUT_SUPP_PFCE_PMCSR, DIO_SUPP_PFCE_PMCSR</v>
      </c>
      <c r="AE130" s="6" t="str">
        <f>VLOOKUP(H130,PortConfigOptions!$B$1:$R$89,7,FALSE)</f>
        <v>PORT_PIN_OUT, PORT_PIN_IN</v>
      </c>
      <c r="AF130" s="6" t="str">
        <f>VLOOKUP(H130,PortConfigOptions!$B$1:$R$89,8,FALSE)</f>
        <v>TRUE, FALSE</v>
      </c>
      <c r="AG130" s="6" t="str">
        <f>VLOOKUP(H130,PortConfigOptions!$B$1:$R$89,9,FALSE)</f>
        <v>TRUE, FALSE</v>
      </c>
      <c r="AH130" s="6">
        <f>VLOOKUP(H130,PortConfigOptions!$B$1:$R$89,10,FALSE)</f>
        <v>0</v>
      </c>
      <c r="AI130" s="6" t="str">
        <f>VLOOKUP(H130,PortConfigOptions!$B$1:$R$89,11,FALSE)</f>
        <v>TRUE, FALSE</v>
      </c>
      <c r="AJ130" s="6" t="str">
        <f>VLOOKUP(H130,PortConfigOptions!$B$1:$R$89,12,FALSE)</f>
        <v>TRUE, FALSE</v>
      </c>
      <c r="AK130" s="6" t="str">
        <f>VLOOKUP(H130,PortConfigOptions!$B$1:$R$89,13,FALSE)</f>
        <v>OpenDrain_PushPull_SUPP_PODC, OpenDrain_N_Channel_SUPP_PODC, OpenDrain_P_Channel_SUPP_PODC</v>
      </c>
      <c r="AL130" s="6">
        <f>VLOOKUP(H130,PortConfigOptions!$B$1:$R$89,14,FALSE)</f>
        <v>0</v>
      </c>
      <c r="AM130" s="6" t="str">
        <f>VLOOKUP(H130,PortConfigOptions!$B$1:$R$89,15,FALSE)</f>
        <v>SLOW, FAST, MIDDLE_0, MIDDLE_1</v>
      </c>
      <c r="AN130" s="6" t="str">
        <f>VLOOKUP(H130,PortConfigOptions!$B$1:$R$89,16,FALSE)</f>
        <v>SLOW, FAST, MIDDLE</v>
      </c>
      <c r="AO130" s="6" t="str">
        <f>VLOOKUP(H130,PortConfigOptions!$B$1:$R$89,17,FALSE)</f>
        <v>TYPE_1_SUPP_PISA, TYPE_2_SUPP_PISA</v>
      </c>
      <c r="AS130" s="7" t="s">
        <v>272</v>
      </c>
      <c r="AV130" s="6" t="s">
        <v>206</v>
      </c>
    </row>
    <row r="131" spans="1:48" x14ac:dyDescent="0.25">
      <c r="A131" s="6">
        <v>117</v>
      </c>
      <c r="B131" s="7">
        <v>92</v>
      </c>
      <c r="D131" s="7" t="s">
        <v>201</v>
      </c>
      <c r="E131" s="7" t="s">
        <v>6</v>
      </c>
      <c r="F131" s="7" t="s">
        <v>251</v>
      </c>
      <c r="G131" s="7" t="s">
        <v>202</v>
      </c>
      <c r="H131" s="6" t="s">
        <v>690</v>
      </c>
      <c r="I131" s="6" t="b">
        <v>0</v>
      </c>
      <c r="J131" s="6" t="b">
        <v>0</v>
      </c>
      <c r="K131" s="6" t="b">
        <v>0</v>
      </c>
      <c r="L131" s="19" t="s">
        <v>6</v>
      </c>
      <c r="M131" s="7" t="s">
        <v>694</v>
      </c>
      <c r="N131" s="7" t="s">
        <v>734</v>
      </c>
      <c r="O131" s="6" t="b">
        <v>0</v>
      </c>
      <c r="P131" s="19" t="s">
        <v>6</v>
      </c>
      <c r="Q131" s="19" t="s">
        <v>6</v>
      </c>
      <c r="R131" s="19" t="s">
        <v>6</v>
      </c>
      <c r="S131" s="19" t="s">
        <v>6</v>
      </c>
      <c r="T131" s="19" t="s">
        <v>6</v>
      </c>
      <c r="U131" s="19" t="s">
        <v>6</v>
      </c>
      <c r="V131" s="18" t="s">
        <v>6</v>
      </c>
      <c r="W131" s="18" t="s">
        <v>6</v>
      </c>
      <c r="X131" s="7" t="s">
        <v>748</v>
      </c>
      <c r="Z131" s="6" t="str">
        <f>VLOOKUP(H131,PortConfigOptions!$B$1:$R$89,2,FALSE)</f>
        <v>TRUE, FALSE</v>
      </c>
      <c r="AA131" s="6" t="str">
        <f>VLOOKUP(H131,PortConfigOptions!$B$1:$R$89,3,FALSE)</f>
        <v>TRUE, FALSE</v>
      </c>
      <c r="AB131" s="6" t="str">
        <f>VLOOKUP(H131,PortConfigOptions!$B$1:$R$89,4,FALSE)</f>
        <v>TRUE, FALSE</v>
      </c>
      <c r="AC131" s="6">
        <f>VLOOKUP(H131,PortConfigOptions!$B$1:$R$89,5,FALSE)</f>
        <v>0</v>
      </c>
      <c r="AD131" s="6" t="str">
        <f>VLOOKUP(H131,PortConfigOptions!$B$1:$R$89,6,FALSE)</f>
        <v>FLS3SCKI_ALT3_IN_SUPP_PFCE_PMCSR, DIO_SUPP_PFCE_PMCSR</v>
      </c>
      <c r="AE131" s="6" t="str">
        <f>VLOOKUP(H131,PortConfigOptions!$B$1:$R$89,7,FALSE)</f>
        <v>PORT_PIN_OUT, PORT_PIN_IN</v>
      </c>
      <c r="AF131" s="6" t="str">
        <f>VLOOKUP(H131,PortConfigOptions!$B$1:$R$89,8,FALSE)</f>
        <v>TRUE, FALSE</v>
      </c>
      <c r="AG131" s="6">
        <f>VLOOKUP(H131,PortConfigOptions!$B$1:$R$89,9,FALSE)</f>
        <v>0</v>
      </c>
      <c r="AH131" s="6">
        <f>VLOOKUP(H131,PortConfigOptions!$B$1:$R$89,10,FALSE)</f>
        <v>0</v>
      </c>
      <c r="AI131" s="6">
        <f>VLOOKUP(H131,PortConfigOptions!$B$1:$R$89,11,FALSE)</f>
        <v>0</v>
      </c>
      <c r="AJ131" s="6">
        <f>VLOOKUP(H131,PortConfigOptions!$B$1:$R$89,12,FALSE)</f>
        <v>0</v>
      </c>
      <c r="AK131" s="6">
        <f>VLOOKUP(H131,PortConfigOptions!$B$1:$R$89,13,FALSE)</f>
        <v>0</v>
      </c>
      <c r="AL131" s="6">
        <f>VLOOKUP(H131,PortConfigOptions!$B$1:$R$89,14,FALSE)</f>
        <v>0</v>
      </c>
      <c r="AM131" s="6">
        <f>VLOOKUP(H131,PortConfigOptions!$B$1:$R$89,15,FALSE)</f>
        <v>0</v>
      </c>
      <c r="AN131" s="6">
        <f>VLOOKUP(H131,PortConfigOptions!$B$1:$R$89,16,FALSE)</f>
        <v>0</v>
      </c>
      <c r="AO131" s="6" t="str">
        <f>VLOOKUP(H131,PortConfigOptions!$B$1:$R$89,17,FALSE)</f>
        <v>TYPE_1_SUPP_PISA, TYPE_2_SUPP_PISA</v>
      </c>
      <c r="AS131" s="7" t="s">
        <v>272</v>
      </c>
      <c r="AV131" s="6" t="s">
        <v>203</v>
      </c>
    </row>
    <row r="132" spans="1:48" x14ac:dyDescent="0.25">
      <c r="A132" s="6">
        <v>116</v>
      </c>
      <c r="B132" s="7">
        <v>91</v>
      </c>
      <c r="D132" s="7" t="s">
        <v>198</v>
      </c>
      <c r="E132" s="7" t="s">
        <v>6</v>
      </c>
      <c r="F132" s="7" t="s">
        <v>251</v>
      </c>
      <c r="G132" s="7" t="s">
        <v>199</v>
      </c>
      <c r="H132" s="6" t="s">
        <v>693</v>
      </c>
      <c r="I132" s="6" t="b">
        <v>0</v>
      </c>
      <c r="J132" s="6" t="b">
        <v>0</v>
      </c>
      <c r="K132" s="6" t="b">
        <v>0</v>
      </c>
      <c r="L132" s="6" t="s">
        <v>699</v>
      </c>
      <c r="M132" s="7" t="s">
        <v>694</v>
      </c>
      <c r="N132" s="7" t="s">
        <v>734</v>
      </c>
      <c r="O132" s="6" t="b">
        <v>0</v>
      </c>
      <c r="P132" s="7" t="b">
        <v>0</v>
      </c>
      <c r="Q132" s="19" t="s">
        <v>6</v>
      </c>
      <c r="R132" s="7" t="b">
        <v>0</v>
      </c>
      <c r="S132" s="7" t="b">
        <v>0</v>
      </c>
      <c r="T132" s="7" t="s">
        <v>752</v>
      </c>
      <c r="U132" s="19" t="s">
        <v>6</v>
      </c>
      <c r="V132" s="6" t="s">
        <v>762</v>
      </c>
      <c r="W132" s="6" t="s">
        <v>762</v>
      </c>
      <c r="X132" s="7" t="s">
        <v>748</v>
      </c>
      <c r="Z132" s="6" t="str">
        <f>VLOOKUP(H132,PortConfigOptions!$B$1:$R$89,2,FALSE)</f>
        <v>TRUE, FALSE</v>
      </c>
      <c r="AA132" s="6" t="str">
        <f>VLOOKUP(H132,PortConfigOptions!$B$1:$R$89,3,FALSE)</f>
        <v>TRUE, FALSE</v>
      </c>
      <c r="AB132" s="6" t="str">
        <f>VLOOKUP(H132,PortConfigOptions!$B$1:$R$89,4,FALSE)</f>
        <v>TRUE, FALSE</v>
      </c>
      <c r="AC132" s="6" t="str">
        <f>VLOOKUP(H132,PortConfigOptions!$B$1:$R$89,5,FALSE)</f>
        <v>PORT_PIN_LEVEL_LOW, PORT_PIN_LEVEL_HIGH</v>
      </c>
      <c r="AD132" s="6" t="str">
        <f>VLOOKUP(H132,PortConfigOptions!$B$1:$R$89,6,FALSE)</f>
        <v>DIO_SUPP_PFCE_PMCSR</v>
      </c>
      <c r="AE132" s="6" t="str">
        <f>VLOOKUP(H132,PortConfigOptions!$B$1:$R$89,7,FALSE)</f>
        <v>PORT_PIN_OUT, PORT_PIN_IN</v>
      </c>
      <c r="AF132" s="6" t="str">
        <f>VLOOKUP(H132,PortConfigOptions!$B$1:$R$89,8,FALSE)</f>
        <v>TRUE, FALSE</v>
      </c>
      <c r="AG132" s="6" t="str">
        <f>VLOOKUP(H132,PortConfigOptions!$B$1:$R$89,9,FALSE)</f>
        <v>TRUE, FALSE</v>
      </c>
      <c r="AH132" s="6">
        <f>VLOOKUP(H132,PortConfigOptions!$B$1:$R$89,10,FALSE)</f>
        <v>0</v>
      </c>
      <c r="AI132" s="6" t="str">
        <f>VLOOKUP(H132,PortConfigOptions!$B$1:$R$89,11,FALSE)</f>
        <v>TRUE, FALSE</v>
      </c>
      <c r="AJ132" s="6" t="str">
        <f>VLOOKUP(H132,PortConfigOptions!$B$1:$R$89,12,FALSE)</f>
        <v>TRUE, FALSE</v>
      </c>
      <c r="AK132" s="6" t="str">
        <f>VLOOKUP(H132,PortConfigOptions!$B$1:$R$89,13,FALSE)</f>
        <v>OpenDrain_PushPull_SUPP_PODC, OpenDrain_N_Channel_SUPP_PODC, OpenDrain_P_Channel_SUPP_PODC</v>
      </c>
      <c r="AL132" s="6">
        <f>VLOOKUP(H132,PortConfigOptions!$B$1:$R$89,14,FALSE)</f>
        <v>0</v>
      </c>
      <c r="AM132" s="6" t="str">
        <f>VLOOKUP(H132,PortConfigOptions!$B$1:$R$89,15,FALSE)</f>
        <v>SLOW, FAST, MIDDLE_0, MIDDLE_1</v>
      </c>
      <c r="AN132" s="6" t="str">
        <f>VLOOKUP(H132,PortConfigOptions!$B$1:$R$89,16,FALSE)</f>
        <v>SLOW, FAST, MIDDLE</v>
      </c>
      <c r="AO132" s="6" t="str">
        <f>VLOOKUP(H132,PortConfigOptions!$B$1:$R$89,17,FALSE)</f>
        <v>TYPE_1_SUPP_PISA, TYPE_2_SUPP_PISA</v>
      </c>
      <c r="AS132" s="7" t="s">
        <v>272</v>
      </c>
      <c r="AV132" s="6" t="s">
        <v>200</v>
      </c>
    </row>
    <row r="133" spans="1:48" x14ac:dyDescent="0.25">
      <c r="A133" s="6">
        <v>120</v>
      </c>
      <c r="B133" s="7">
        <v>95</v>
      </c>
      <c r="D133" s="7" t="s">
        <v>210</v>
      </c>
      <c r="E133" s="7" t="s">
        <v>6</v>
      </c>
      <c r="F133" s="7" t="s">
        <v>251</v>
      </c>
      <c r="G133" s="7" t="s">
        <v>211</v>
      </c>
      <c r="H133" s="6" t="s">
        <v>696</v>
      </c>
      <c r="I133" s="6" t="b">
        <v>0</v>
      </c>
      <c r="J133" s="6" t="b">
        <v>0</v>
      </c>
      <c r="K133" s="6" t="b">
        <v>0</v>
      </c>
      <c r="L133" s="6" t="s">
        <v>699</v>
      </c>
      <c r="M133" s="7" t="s">
        <v>694</v>
      </c>
      <c r="N133" s="7" t="s">
        <v>734</v>
      </c>
      <c r="O133" s="6" t="b">
        <v>0</v>
      </c>
      <c r="P133" s="7" t="b">
        <v>0</v>
      </c>
      <c r="Q133" s="19" t="s">
        <v>6</v>
      </c>
      <c r="R133" s="7" t="b">
        <v>0</v>
      </c>
      <c r="S133" s="7" t="b">
        <v>0</v>
      </c>
      <c r="T133" s="7" t="s">
        <v>752</v>
      </c>
      <c r="U133" s="19" t="s">
        <v>6</v>
      </c>
      <c r="V133" s="6" t="s">
        <v>762</v>
      </c>
      <c r="W133" s="6" t="s">
        <v>762</v>
      </c>
      <c r="X133" s="7" t="s">
        <v>748</v>
      </c>
      <c r="Z133" s="6" t="str">
        <f>VLOOKUP(H133,PortConfigOptions!$B$1:$R$89,2,FALSE)</f>
        <v>TRUE, FALSE</v>
      </c>
      <c r="AA133" s="6" t="str">
        <f>VLOOKUP(H133,PortConfigOptions!$B$1:$R$89,3,FALSE)</f>
        <v>TRUE, FALSE</v>
      </c>
      <c r="AB133" s="6" t="str">
        <f>VLOOKUP(H133,PortConfigOptions!$B$1:$R$89,4,FALSE)</f>
        <v>TRUE, FALSE</v>
      </c>
      <c r="AC133" s="6" t="str">
        <f>VLOOKUP(H133,PortConfigOptions!$B$1:$R$89,5,FALSE)</f>
        <v>PORT_PIN_LEVEL_LOW, PORT_PIN_LEVEL_HIGH</v>
      </c>
      <c r="AD133" s="6" t="str">
        <f>VLOOKUP(H133,PortConfigOptions!$B$1:$R$89,6,FALSE)</f>
        <v>DIO_SUPP_PFCE_PMCSR</v>
      </c>
      <c r="AE133" s="6" t="str">
        <f>VLOOKUP(H133,PortConfigOptions!$B$1:$R$89,7,FALSE)</f>
        <v>PORT_PIN_OUT, PORT_PIN_IN</v>
      </c>
      <c r="AF133" s="6" t="str">
        <f>VLOOKUP(H133,PortConfigOptions!$B$1:$R$89,8,FALSE)</f>
        <v>TRUE, FALSE</v>
      </c>
      <c r="AG133" s="6" t="str">
        <f>VLOOKUP(H133,PortConfigOptions!$B$1:$R$89,9,FALSE)</f>
        <v>TRUE, FALSE</v>
      </c>
      <c r="AH133" s="6">
        <f>VLOOKUP(H133,PortConfigOptions!$B$1:$R$89,10,FALSE)</f>
        <v>0</v>
      </c>
      <c r="AI133" s="6" t="str">
        <f>VLOOKUP(H133,PortConfigOptions!$B$1:$R$89,11,FALSE)</f>
        <v>TRUE, FALSE</v>
      </c>
      <c r="AJ133" s="6" t="str">
        <f>VLOOKUP(H133,PortConfigOptions!$B$1:$R$89,12,FALSE)</f>
        <v>TRUE, FALSE</v>
      </c>
      <c r="AK133" s="6" t="str">
        <f>VLOOKUP(H133,PortConfigOptions!$B$1:$R$89,13,FALSE)</f>
        <v>OpenDrain_PushPull_SUPP_PODC, OpenDrain_N_Channel_SUPP_PODC, OpenDrain_P_Channel_SUPP_PODC</v>
      </c>
      <c r="AL133" s="6">
        <f>VLOOKUP(H133,PortConfigOptions!$B$1:$R$89,14,FALSE)</f>
        <v>0</v>
      </c>
      <c r="AM133" s="6" t="str">
        <f>VLOOKUP(H133,PortConfigOptions!$B$1:$R$89,15,FALSE)</f>
        <v>SLOW, FAST, MIDDLE_0, MIDDLE_1</v>
      </c>
      <c r="AN133" s="6" t="str">
        <f>VLOOKUP(H133,PortConfigOptions!$B$1:$R$89,16,FALSE)</f>
        <v>SLOW, FAST, MIDDLE</v>
      </c>
      <c r="AO133" s="6" t="str">
        <f>VLOOKUP(H133,PortConfigOptions!$B$1:$R$89,17,FALSE)</f>
        <v>TYPE_1_SUPP_PISA, TYPE_2_SUPP_PISA</v>
      </c>
      <c r="AS133" s="7" t="s">
        <v>272</v>
      </c>
      <c r="AV133" s="6" t="s">
        <v>212</v>
      </c>
    </row>
    <row r="134" spans="1:48" x14ac:dyDescent="0.25">
      <c r="A134" s="6">
        <v>121</v>
      </c>
      <c r="B134" s="7">
        <v>90</v>
      </c>
      <c r="D134" s="7" t="s">
        <v>213</v>
      </c>
      <c r="E134" s="7" t="s">
        <v>6</v>
      </c>
      <c r="F134" s="7" t="s">
        <v>251</v>
      </c>
      <c r="G134" s="7" t="s">
        <v>214</v>
      </c>
      <c r="H134" s="6" t="s">
        <v>698</v>
      </c>
      <c r="I134" s="6" t="b">
        <v>0</v>
      </c>
      <c r="J134" s="6" t="b">
        <v>0</v>
      </c>
      <c r="K134" s="6" t="b">
        <v>0</v>
      </c>
      <c r="L134" s="6" t="s">
        <v>699</v>
      </c>
      <c r="M134" s="7" t="s">
        <v>694</v>
      </c>
      <c r="N134" s="7" t="s">
        <v>734</v>
      </c>
      <c r="O134" s="6" t="b">
        <v>0</v>
      </c>
      <c r="P134" s="7" t="b">
        <v>0</v>
      </c>
      <c r="Q134" s="19" t="s">
        <v>6</v>
      </c>
      <c r="R134" s="7" t="b">
        <v>0</v>
      </c>
      <c r="S134" s="7" t="b">
        <v>0</v>
      </c>
      <c r="T134" s="7" t="s">
        <v>752</v>
      </c>
      <c r="U134" s="19" t="s">
        <v>6</v>
      </c>
      <c r="V134" s="6" t="s">
        <v>762</v>
      </c>
      <c r="W134" s="6" t="s">
        <v>762</v>
      </c>
      <c r="X134" s="7" t="s">
        <v>748</v>
      </c>
      <c r="Z134" s="6" t="str">
        <f>VLOOKUP(H134,PortConfigOptions!$B$1:$R$89,2,FALSE)</f>
        <v>TRUE, FALSE</v>
      </c>
      <c r="AA134" s="6" t="str">
        <f>VLOOKUP(H134,PortConfigOptions!$B$1:$R$89,3,FALSE)</f>
        <v>TRUE, FALSE</v>
      </c>
      <c r="AB134" s="6" t="str">
        <f>VLOOKUP(H134,PortConfigOptions!$B$1:$R$89,4,FALSE)</f>
        <v>TRUE, FALSE</v>
      </c>
      <c r="AC134" s="6" t="str">
        <f>VLOOKUP(H134,PortConfigOptions!$B$1:$R$89,5,FALSE)</f>
        <v>PORT_PIN_LEVEL_LOW, PORT_PIN_LEVEL_HIGH</v>
      </c>
      <c r="AD134" s="6" t="str">
        <f>VLOOKUP(H134,PortConfigOptions!$B$1:$R$89,6,FALSE)</f>
        <v>DIO_SUPP_PFCE_PMCSR</v>
      </c>
      <c r="AE134" s="6" t="str">
        <f>VLOOKUP(H134,PortConfigOptions!$B$1:$R$89,7,FALSE)</f>
        <v>PORT_PIN_OUT, PORT_PIN_IN</v>
      </c>
      <c r="AF134" s="6" t="str">
        <f>VLOOKUP(H134,PortConfigOptions!$B$1:$R$89,8,FALSE)</f>
        <v>TRUE, FALSE</v>
      </c>
      <c r="AG134" s="6" t="str">
        <f>VLOOKUP(H134,PortConfigOptions!$B$1:$R$89,9,FALSE)</f>
        <v>TRUE, FALSE</v>
      </c>
      <c r="AH134" s="6">
        <f>VLOOKUP(H134,PortConfigOptions!$B$1:$R$89,10,FALSE)</f>
        <v>0</v>
      </c>
      <c r="AI134" s="6" t="str">
        <f>VLOOKUP(H134,PortConfigOptions!$B$1:$R$89,11,FALSE)</f>
        <v>TRUE, FALSE</v>
      </c>
      <c r="AJ134" s="6" t="str">
        <f>VLOOKUP(H134,PortConfigOptions!$B$1:$R$89,12,FALSE)</f>
        <v>TRUE, FALSE</v>
      </c>
      <c r="AK134" s="6" t="str">
        <f>VLOOKUP(H134,PortConfigOptions!$B$1:$R$89,13,FALSE)</f>
        <v>OpenDrain_PushPull_SUPP_PODC, OpenDrain_N_Channel_SUPP_PODC, OpenDrain_P_Channel_SUPP_PODC</v>
      </c>
      <c r="AL134" s="6">
        <f>VLOOKUP(H134,PortConfigOptions!$B$1:$R$89,14,FALSE)</f>
        <v>0</v>
      </c>
      <c r="AM134" s="6" t="str">
        <f>VLOOKUP(H134,PortConfigOptions!$B$1:$R$89,15,FALSE)</f>
        <v>SLOW, FAST, MIDDLE_0, MIDDLE_1</v>
      </c>
      <c r="AN134" s="6" t="str">
        <f>VLOOKUP(H134,PortConfigOptions!$B$1:$R$89,16,FALSE)</f>
        <v>SLOW, FAST, MIDDLE</v>
      </c>
      <c r="AO134" s="6" t="str">
        <f>VLOOKUP(H134,PortConfigOptions!$B$1:$R$89,17,FALSE)</f>
        <v>TYPE_1_SUPP_PISA, TYPE_2_SUPP_PISA</v>
      </c>
      <c r="AS134" s="7" t="s">
        <v>272</v>
      </c>
      <c r="AV134" s="6" t="s">
        <v>215</v>
      </c>
    </row>
    <row r="135" spans="1:48" x14ac:dyDescent="0.25">
      <c r="A135" s="6">
        <v>123</v>
      </c>
      <c r="B135" s="7">
        <v>96</v>
      </c>
      <c r="D135" s="7" t="s">
        <v>217</v>
      </c>
      <c r="E135" s="7" t="s">
        <v>6</v>
      </c>
      <c r="F135" s="7" t="s">
        <v>251</v>
      </c>
      <c r="G135" s="7" t="s">
        <v>218</v>
      </c>
      <c r="H135" s="6" t="s">
        <v>218</v>
      </c>
      <c r="I135" s="6" t="e">
        <v>#N/A</v>
      </c>
      <c r="J135" s="6" t="e">
        <v>#N/A</v>
      </c>
      <c r="K135" s="6" t="e">
        <v>#N/A</v>
      </c>
      <c r="L135" s="6" t="e">
        <v>#N/A</v>
      </c>
      <c r="M135" s="7" t="e">
        <v>#N/A</v>
      </c>
      <c r="N135" s="6" t="e">
        <v>#N/A</v>
      </c>
      <c r="O135" s="6" t="e">
        <v>#N/A</v>
      </c>
      <c r="P135" s="7" t="e">
        <v>#N/A</v>
      </c>
      <c r="Q135" s="7" t="e">
        <v>#N/A</v>
      </c>
      <c r="R135" s="7" t="e">
        <v>#N/A</v>
      </c>
      <c r="S135" s="7" t="e">
        <v>#N/A</v>
      </c>
      <c r="T135" s="7" t="e">
        <v>#N/A</v>
      </c>
      <c r="U135" s="7" t="e">
        <v>#N/A</v>
      </c>
      <c r="V135" s="6" t="e">
        <v>#N/A</v>
      </c>
      <c r="W135" s="6" t="e">
        <v>#N/A</v>
      </c>
      <c r="X135" s="7" t="e">
        <v>#N/A</v>
      </c>
      <c r="Z135" s="6" t="e">
        <f>VLOOKUP(H135,PortConfigOptions!$B$1:$R$89,2,FALSE)</f>
        <v>#N/A</v>
      </c>
      <c r="AA135" s="6" t="e">
        <f>VLOOKUP(H135,PortConfigOptions!$B$1:$R$89,3,FALSE)</f>
        <v>#N/A</v>
      </c>
      <c r="AB135" s="6" t="e">
        <f>VLOOKUP(H135,PortConfigOptions!$B$1:$R$89,4,FALSE)</f>
        <v>#N/A</v>
      </c>
      <c r="AC135" s="6" t="e">
        <f>VLOOKUP(H135,PortConfigOptions!$B$1:$R$89,5,FALSE)</f>
        <v>#N/A</v>
      </c>
      <c r="AD135" s="6" t="e">
        <f>VLOOKUP(H135,PortConfigOptions!$B$1:$R$89,6,FALSE)</f>
        <v>#N/A</v>
      </c>
      <c r="AE135" s="6" t="e">
        <f>VLOOKUP(H135,PortConfigOptions!$B$1:$R$89,7,FALSE)</f>
        <v>#N/A</v>
      </c>
      <c r="AF135" s="6" t="e">
        <f>VLOOKUP(H135,PortConfigOptions!$B$1:$R$89,8,FALSE)</f>
        <v>#N/A</v>
      </c>
      <c r="AG135" s="6" t="e">
        <f>VLOOKUP(H135,PortConfigOptions!$B$1:$R$89,9,FALSE)</f>
        <v>#N/A</v>
      </c>
      <c r="AH135" s="6" t="e">
        <f>VLOOKUP(H135,PortConfigOptions!$B$1:$R$89,10,FALSE)</f>
        <v>#N/A</v>
      </c>
      <c r="AI135" s="6" t="e">
        <f>VLOOKUP(H135,PortConfigOptions!$B$1:$R$89,11,FALSE)</f>
        <v>#N/A</v>
      </c>
      <c r="AJ135" s="6" t="e">
        <f>VLOOKUP(H135,PortConfigOptions!$B$1:$R$89,12,FALSE)</f>
        <v>#N/A</v>
      </c>
      <c r="AK135" s="6" t="e">
        <f>VLOOKUP(H135,PortConfigOptions!$B$1:$R$89,13,FALSE)</f>
        <v>#N/A</v>
      </c>
      <c r="AL135" s="6" t="e">
        <f>VLOOKUP(H135,PortConfigOptions!$B$1:$R$89,14,FALSE)</f>
        <v>#N/A</v>
      </c>
      <c r="AM135" s="6" t="e">
        <f>VLOOKUP(H135,PortConfigOptions!$B$1:$R$89,15,FALSE)</f>
        <v>#N/A</v>
      </c>
      <c r="AN135" s="6" t="e">
        <f>VLOOKUP(H135,PortConfigOptions!$B$1:$R$89,16,FALSE)</f>
        <v>#N/A</v>
      </c>
      <c r="AO135" s="6" t="e">
        <f>VLOOKUP(H135,PortConfigOptions!$B$1:$R$89,17,FALSE)</f>
        <v>#N/A</v>
      </c>
      <c r="AS135" s="7" t="s">
        <v>272</v>
      </c>
      <c r="AV135" s="6" t="s">
        <v>218</v>
      </c>
    </row>
    <row r="136" spans="1:48" x14ac:dyDescent="0.25">
      <c r="A136" s="6">
        <v>86</v>
      </c>
      <c r="B136" s="7">
        <v>19</v>
      </c>
      <c r="D136" s="7" t="s">
        <v>169</v>
      </c>
      <c r="E136" s="7" t="s">
        <v>6</v>
      </c>
      <c r="F136" s="7" t="s">
        <v>251</v>
      </c>
      <c r="G136" s="7" t="s">
        <v>174</v>
      </c>
      <c r="H136" s="6" t="s">
        <v>174</v>
      </c>
      <c r="I136" s="6" t="e">
        <v>#N/A</v>
      </c>
      <c r="J136" s="6" t="e">
        <v>#N/A</v>
      </c>
      <c r="K136" s="6" t="e">
        <v>#N/A</v>
      </c>
      <c r="L136" s="6" t="e">
        <v>#N/A</v>
      </c>
      <c r="M136" s="7" t="e">
        <v>#N/A</v>
      </c>
      <c r="N136" s="6" t="e">
        <v>#N/A</v>
      </c>
      <c r="O136" s="6" t="e">
        <v>#N/A</v>
      </c>
      <c r="P136" s="7" t="e">
        <v>#N/A</v>
      </c>
      <c r="Q136" s="7" t="e">
        <v>#N/A</v>
      </c>
      <c r="R136" s="7" t="e">
        <v>#N/A</v>
      </c>
      <c r="S136" s="7" t="e">
        <v>#N/A</v>
      </c>
      <c r="T136" s="7" t="e">
        <v>#N/A</v>
      </c>
      <c r="U136" s="7" t="e">
        <v>#N/A</v>
      </c>
      <c r="V136" s="6" t="e">
        <v>#N/A</v>
      </c>
      <c r="W136" s="6" t="e">
        <v>#N/A</v>
      </c>
      <c r="X136" s="7" t="e">
        <v>#N/A</v>
      </c>
      <c r="Z136" s="6" t="e">
        <f>VLOOKUP(H136,PortConfigOptions!$B$1:$R$89,2,FALSE)</f>
        <v>#N/A</v>
      </c>
      <c r="AA136" s="6" t="e">
        <f>VLOOKUP(H136,PortConfigOptions!$B$1:$R$89,3,FALSE)</f>
        <v>#N/A</v>
      </c>
      <c r="AB136" s="6" t="e">
        <f>VLOOKUP(H136,PortConfigOptions!$B$1:$R$89,4,FALSE)</f>
        <v>#N/A</v>
      </c>
      <c r="AC136" s="6" t="e">
        <f>VLOOKUP(H136,PortConfigOptions!$B$1:$R$89,5,FALSE)</f>
        <v>#N/A</v>
      </c>
      <c r="AD136" s="6" t="e">
        <f>VLOOKUP(H136,PortConfigOptions!$B$1:$R$89,6,FALSE)</f>
        <v>#N/A</v>
      </c>
      <c r="AE136" s="6" t="e">
        <f>VLOOKUP(H136,PortConfigOptions!$B$1:$R$89,7,FALSE)</f>
        <v>#N/A</v>
      </c>
      <c r="AF136" s="6" t="e">
        <f>VLOOKUP(H136,PortConfigOptions!$B$1:$R$89,8,FALSE)</f>
        <v>#N/A</v>
      </c>
      <c r="AG136" s="6" t="e">
        <f>VLOOKUP(H136,PortConfigOptions!$B$1:$R$89,9,FALSE)</f>
        <v>#N/A</v>
      </c>
      <c r="AH136" s="6" t="e">
        <f>VLOOKUP(H136,PortConfigOptions!$B$1:$R$89,10,FALSE)</f>
        <v>#N/A</v>
      </c>
      <c r="AI136" s="6" t="e">
        <f>VLOOKUP(H136,PortConfigOptions!$B$1:$R$89,11,FALSE)</f>
        <v>#N/A</v>
      </c>
      <c r="AJ136" s="6" t="e">
        <f>VLOOKUP(H136,PortConfigOptions!$B$1:$R$89,12,FALSE)</f>
        <v>#N/A</v>
      </c>
      <c r="AK136" s="6" t="e">
        <f>VLOOKUP(H136,PortConfigOptions!$B$1:$R$89,13,FALSE)</f>
        <v>#N/A</v>
      </c>
      <c r="AL136" s="6" t="e">
        <f>VLOOKUP(H136,PortConfigOptions!$B$1:$R$89,14,FALSE)</f>
        <v>#N/A</v>
      </c>
      <c r="AM136" s="6" t="e">
        <f>VLOOKUP(H136,PortConfigOptions!$B$1:$R$89,15,FALSE)</f>
        <v>#N/A</v>
      </c>
      <c r="AN136" s="6" t="e">
        <f>VLOOKUP(H136,PortConfigOptions!$B$1:$R$89,16,FALSE)</f>
        <v>#N/A</v>
      </c>
      <c r="AO136" s="6" t="e">
        <f>VLOOKUP(H136,PortConfigOptions!$B$1:$R$89,17,FALSE)</f>
        <v>#N/A</v>
      </c>
      <c r="AS136" s="7" t="s">
        <v>58</v>
      </c>
      <c r="AV136" s="6" t="s">
        <v>174</v>
      </c>
    </row>
    <row r="137" spans="1:48" x14ac:dyDescent="0.25">
      <c r="A137" s="6">
        <v>93</v>
      </c>
      <c r="B137" s="7">
        <v>101</v>
      </c>
      <c r="D137" s="7" t="s">
        <v>169</v>
      </c>
      <c r="E137" s="7" t="s">
        <v>6</v>
      </c>
      <c r="F137" s="7" t="s">
        <v>251</v>
      </c>
      <c r="G137" s="7" t="s">
        <v>174</v>
      </c>
      <c r="H137" s="6" t="s">
        <v>174</v>
      </c>
      <c r="I137" s="6" t="e">
        <v>#N/A</v>
      </c>
      <c r="J137" s="6" t="e">
        <v>#N/A</v>
      </c>
      <c r="K137" s="6" t="e">
        <v>#N/A</v>
      </c>
      <c r="L137" s="6" t="e">
        <v>#N/A</v>
      </c>
      <c r="M137" s="7" t="e">
        <v>#N/A</v>
      </c>
      <c r="N137" s="6" t="e">
        <v>#N/A</v>
      </c>
      <c r="O137" s="6" t="e">
        <v>#N/A</v>
      </c>
      <c r="P137" s="7" t="e">
        <v>#N/A</v>
      </c>
      <c r="Q137" s="7" t="e">
        <v>#N/A</v>
      </c>
      <c r="R137" s="7" t="e">
        <v>#N/A</v>
      </c>
      <c r="S137" s="7" t="e">
        <v>#N/A</v>
      </c>
      <c r="T137" s="7" t="e">
        <v>#N/A</v>
      </c>
      <c r="U137" s="7" t="e">
        <v>#N/A</v>
      </c>
      <c r="V137" s="6" t="e">
        <v>#N/A</v>
      </c>
      <c r="W137" s="6" t="e">
        <v>#N/A</v>
      </c>
      <c r="X137" s="7" t="e">
        <v>#N/A</v>
      </c>
      <c r="Z137" s="6" t="e">
        <f>VLOOKUP(H137,PortConfigOptions!$B$1:$R$89,2,FALSE)</f>
        <v>#N/A</v>
      </c>
      <c r="AA137" s="6" t="e">
        <f>VLOOKUP(H137,PortConfigOptions!$B$1:$R$89,3,FALSE)</f>
        <v>#N/A</v>
      </c>
      <c r="AB137" s="6" t="e">
        <f>VLOOKUP(H137,PortConfigOptions!$B$1:$R$89,4,FALSE)</f>
        <v>#N/A</v>
      </c>
      <c r="AC137" s="6" t="e">
        <f>VLOOKUP(H137,PortConfigOptions!$B$1:$R$89,5,FALSE)</f>
        <v>#N/A</v>
      </c>
      <c r="AD137" s="6" t="e">
        <f>VLOOKUP(H137,PortConfigOptions!$B$1:$R$89,6,FALSE)</f>
        <v>#N/A</v>
      </c>
      <c r="AE137" s="6" t="e">
        <f>VLOOKUP(H137,PortConfigOptions!$B$1:$R$89,7,FALSE)</f>
        <v>#N/A</v>
      </c>
      <c r="AF137" s="6" t="e">
        <f>VLOOKUP(H137,PortConfigOptions!$B$1:$R$89,8,FALSE)</f>
        <v>#N/A</v>
      </c>
      <c r="AG137" s="6" t="e">
        <f>VLOOKUP(H137,PortConfigOptions!$B$1:$R$89,9,FALSE)</f>
        <v>#N/A</v>
      </c>
      <c r="AH137" s="6" t="e">
        <f>VLOOKUP(H137,PortConfigOptions!$B$1:$R$89,10,FALSE)</f>
        <v>#N/A</v>
      </c>
      <c r="AI137" s="6" t="e">
        <f>VLOOKUP(H137,PortConfigOptions!$B$1:$R$89,11,FALSE)</f>
        <v>#N/A</v>
      </c>
      <c r="AJ137" s="6" t="e">
        <f>VLOOKUP(H137,PortConfigOptions!$B$1:$R$89,12,FALSE)</f>
        <v>#N/A</v>
      </c>
      <c r="AK137" s="6" t="e">
        <f>VLOOKUP(H137,PortConfigOptions!$B$1:$R$89,13,FALSE)</f>
        <v>#N/A</v>
      </c>
      <c r="AL137" s="6" t="e">
        <f>VLOOKUP(H137,PortConfigOptions!$B$1:$R$89,14,FALSE)</f>
        <v>#N/A</v>
      </c>
      <c r="AM137" s="6" t="e">
        <f>VLOOKUP(H137,PortConfigOptions!$B$1:$R$89,15,FALSE)</f>
        <v>#N/A</v>
      </c>
      <c r="AN137" s="6" t="e">
        <f>VLOOKUP(H137,PortConfigOptions!$B$1:$R$89,16,FALSE)</f>
        <v>#N/A</v>
      </c>
      <c r="AO137" s="6" t="e">
        <f>VLOOKUP(H137,PortConfigOptions!$B$1:$R$89,17,FALSE)</f>
        <v>#N/A</v>
      </c>
      <c r="AS137" s="7" t="s">
        <v>58</v>
      </c>
      <c r="AV137" s="6" t="s">
        <v>174</v>
      </c>
    </row>
    <row r="138" spans="1:48" x14ac:dyDescent="0.25">
      <c r="A138" s="6">
        <v>84</v>
      </c>
      <c r="B138" s="7">
        <v>17</v>
      </c>
      <c r="D138" s="7" t="s">
        <v>169</v>
      </c>
      <c r="E138" s="7" t="s">
        <v>6</v>
      </c>
      <c r="F138" s="7" t="s">
        <v>251</v>
      </c>
      <c r="G138" s="7" t="s">
        <v>172</v>
      </c>
      <c r="H138" s="6" t="s">
        <v>172</v>
      </c>
      <c r="I138" s="6" t="e">
        <v>#N/A</v>
      </c>
      <c r="J138" s="6" t="e">
        <v>#N/A</v>
      </c>
      <c r="K138" s="6" t="e">
        <v>#N/A</v>
      </c>
      <c r="L138" s="6" t="e">
        <v>#N/A</v>
      </c>
      <c r="M138" s="7" t="e">
        <v>#N/A</v>
      </c>
      <c r="N138" s="6" t="e">
        <v>#N/A</v>
      </c>
      <c r="O138" s="6" t="e">
        <v>#N/A</v>
      </c>
      <c r="P138" s="7" t="e">
        <v>#N/A</v>
      </c>
      <c r="Q138" s="7" t="e">
        <v>#N/A</v>
      </c>
      <c r="R138" s="7" t="e">
        <v>#N/A</v>
      </c>
      <c r="S138" s="7" t="e">
        <v>#N/A</v>
      </c>
      <c r="T138" s="7" t="e">
        <v>#N/A</v>
      </c>
      <c r="U138" s="7" t="e">
        <v>#N/A</v>
      </c>
      <c r="V138" s="6" t="e">
        <v>#N/A</v>
      </c>
      <c r="W138" s="6" t="e">
        <v>#N/A</v>
      </c>
      <c r="X138" s="7" t="e">
        <v>#N/A</v>
      </c>
      <c r="Z138" s="6" t="e">
        <f>VLOOKUP(H138,PortConfigOptions!$B$1:$R$89,2,FALSE)</f>
        <v>#N/A</v>
      </c>
      <c r="AA138" s="6" t="e">
        <f>VLOOKUP(H138,PortConfigOptions!$B$1:$R$89,3,FALSE)</f>
        <v>#N/A</v>
      </c>
      <c r="AB138" s="6" t="e">
        <f>VLOOKUP(H138,PortConfigOptions!$B$1:$R$89,4,FALSE)</f>
        <v>#N/A</v>
      </c>
      <c r="AC138" s="6" t="e">
        <f>VLOOKUP(H138,PortConfigOptions!$B$1:$R$89,5,FALSE)</f>
        <v>#N/A</v>
      </c>
      <c r="AD138" s="6" t="e">
        <f>VLOOKUP(H138,PortConfigOptions!$B$1:$R$89,6,FALSE)</f>
        <v>#N/A</v>
      </c>
      <c r="AE138" s="6" t="e">
        <f>VLOOKUP(H138,PortConfigOptions!$B$1:$R$89,7,FALSE)</f>
        <v>#N/A</v>
      </c>
      <c r="AF138" s="6" t="e">
        <f>VLOOKUP(H138,PortConfigOptions!$B$1:$R$89,8,FALSE)</f>
        <v>#N/A</v>
      </c>
      <c r="AG138" s="6" t="e">
        <f>VLOOKUP(H138,PortConfigOptions!$B$1:$R$89,9,FALSE)</f>
        <v>#N/A</v>
      </c>
      <c r="AH138" s="6" t="e">
        <f>VLOOKUP(H138,PortConfigOptions!$B$1:$R$89,10,FALSE)</f>
        <v>#N/A</v>
      </c>
      <c r="AI138" s="6" t="e">
        <f>VLOOKUP(H138,PortConfigOptions!$B$1:$R$89,11,FALSE)</f>
        <v>#N/A</v>
      </c>
      <c r="AJ138" s="6" t="e">
        <f>VLOOKUP(H138,PortConfigOptions!$B$1:$R$89,12,FALSE)</f>
        <v>#N/A</v>
      </c>
      <c r="AK138" s="6" t="e">
        <f>VLOOKUP(H138,PortConfigOptions!$B$1:$R$89,13,FALSE)</f>
        <v>#N/A</v>
      </c>
      <c r="AL138" s="6" t="e">
        <f>VLOOKUP(H138,PortConfigOptions!$B$1:$R$89,14,FALSE)</f>
        <v>#N/A</v>
      </c>
      <c r="AM138" s="6" t="e">
        <f>VLOOKUP(H138,PortConfigOptions!$B$1:$R$89,15,FALSE)</f>
        <v>#N/A</v>
      </c>
      <c r="AN138" s="6" t="e">
        <f>VLOOKUP(H138,PortConfigOptions!$B$1:$R$89,16,FALSE)</f>
        <v>#N/A</v>
      </c>
      <c r="AO138" s="6" t="e">
        <f>VLOOKUP(H138,PortConfigOptions!$B$1:$R$89,17,FALSE)</f>
        <v>#N/A</v>
      </c>
      <c r="AS138" s="7" t="s">
        <v>58</v>
      </c>
      <c r="AV138" s="6" t="s">
        <v>172</v>
      </c>
    </row>
    <row r="139" spans="1:48" x14ac:dyDescent="0.25">
      <c r="A139" s="6">
        <v>92</v>
      </c>
      <c r="B139" s="7">
        <v>98</v>
      </c>
      <c r="D139" s="7" t="s">
        <v>169</v>
      </c>
      <c r="E139" s="7" t="s">
        <v>6</v>
      </c>
      <c r="F139" s="7" t="s">
        <v>251</v>
      </c>
      <c r="G139" s="7" t="s">
        <v>172</v>
      </c>
      <c r="H139" s="6" t="s">
        <v>172</v>
      </c>
      <c r="I139" s="6" t="e">
        <v>#N/A</v>
      </c>
      <c r="J139" s="6" t="e">
        <v>#N/A</v>
      </c>
      <c r="K139" s="6" t="e">
        <v>#N/A</v>
      </c>
      <c r="L139" s="6" t="e">
        <v>#N/A</v>
      </c>
      <c r="M139" s="7" t="e">
        <v>#N/A</v>
      </c>
      <c r="N139" s="6" t="e">
        <v>#N/A</v>
      </c>
      <c r="O139" s="6" t="e">
        <v>#N/A</v>
      </c>
      <c r="P139" s="7" t="e">
        <v>#N/A</v>
      </c>
      <c r="Q139" s="7" t="e">
        <v>#N/A</v>
      </c>
      <c r="R139" s="7" t="e">
        <v>#N/A</v>
      </c>
      <c r="S139" s="7" t="e">
        <v>#N/A</v>
      </c>
      <c r="T139" s="7" t="e">
        <v>#N/A</v>
      </c>
      <c r="U139" s="7" t="e">
        <v>#N/A</v>
      </c>
      <c r="V139" s="6" t="e">
        <v>#N/A</v>
      </c>
      <c r="W139" s="6" t="e">
        <v>#N/A</v>
      </c>
      <c r="X139" s="7" t="e">
        <v>#N/A</v>
      </c>
      <c r="Z139" s="6" t="e">
        <f>VLOOKUP(H139,PortConfigOptions!$B$1:$R$89,2,FALSE)</f>
        <v>#N/A</v>
      </c>
      <c r="AA139" s="6" t="e">
        <f>VLOOKUP(H139,PortConfigOptions!$B$1:$R$89,3,FALSE)</f>
        <v>#N/A</v>
      </c>
      <c r="AB139" s="6" t="e">
        <f>VLOOKUP(H139,PortConfigOptions!$B$1:$R$89,4,FALSE)</f>
        <v>#N/A</v>
      </c>
      <c r="AC139" s="6" t="e">
        <f>VLOOKUP(H139,PortConfigOptions!$B$1:$R$89,5,FALSE)</f>
        <v>#N/A</v>
      </c>
      <c r="AD139" s="6" t="e">
        <f>VLOOKUP(H139,PortConfigOptions!$B$1:$R$89,6,FALSE)</f>
        <v>#N/A</v>
      </c>
      <c r="AE139" s="6" t="e">
        <f>VLOOKUP(H139,PortConfigOptions!$B$1:$R$89,7,FALSE)</f>
        <v>#N/A</v>
      </c>
      <c r="AF139" s="6" t="e">
        <f>VLOOKUP(H139,PortConfigOptions!$B$1:$R$89,8,FALSE)</f>
        <v>#N/A</v>
      </c>
      <c r="AG139" s="6" t="e">
        <f>VLOOKUP(H139,PortConfigOptions!$B$1:$R$89,9,FALSE)</f>
        <v>#N/A</v>
      </c>
      <c r="AH139" s="6" t="e">
        <f>VLOOKUP(H139,PortConfigOptions!$B$1:$R$89,10,FALSE)</f>
        <v>#N/A</v>
      </c>
      <c r="AI139" s="6" t="e">
        <f>VLOOKUP(H139,PortConfigOptions!$B$1:$R$89,11,FALSE)</f>
        <v>#N/A</v>
      </c>
      <c r="AJ139" s="6" t="e">
        <f>VLOOKUP(H139,PortConfigOptions!$B$1:$R$89,12,FALSE)</f>
        <v>#N/A</v>
      </c>
      <c r="AK139" s="6" t="e">
        <f>VLOOKUP(H139,PortConfigOptions!$B$1:$R$89,13,FALSE)</f>
        <v>#N/A</v>
      </c>
      <c r="AL139" s="6" t="e">
        <f>VLOOKUP(H139,PortConfigOptions!$B$1:$R$89,14,FALSE)</f>
        <v>#N/A</v>
      </c>
      <c r="AM139" s="6" t="e">
        <f>VLOOKUP(H139,PortConfigOptions!$B$1:$R$89,15,FALSE)</f>
        <v>#N/A</v>
      </c>
      <c r="AN139" s="6" t="e">
        <f>VLOOKUP(H139,PortConfigOptions!$B$1:$R$89,16,FALSE)</f>
        <v>#N/A</v>
      </c>
      <c r="AO139" s="6" t="e">
        <f>VLOOKUP(H139,PortConfigOptions!$B$1:$R$89,17,FALSE)</f>
        <v>#N/A</v>
      </c>
      <c r="AS139" s="7" t="s">
        <v>58</v>
      </c>
      <c r="AV139" s="6" t="s">
        <v>172</v>
      </c>
    </row>
    <row r="140" spans="1:48" x14ac:dyDescent="0.25">
      <c r="A140" s="6">
        <v>97</v>
      </c>
      <c r="B140" s="7">
        <v>125</v>
      </c>
      <c r="D140" s="7" t="s">
        <v>169</v>
      </c>
      <c r="E140" s="7" t="s">
        <v>6</v>
      </c>
      <c r="F140" s="7" t="s">
        <v>251</v>
      </c>
      <c r="G140" s="7" t="s">
        <v>172</v>
      </c>
      <c r="H140" s="6" t="s">
        <v>172</v>
      </c>
      <c r="I140" s="6" t="e">
        <v>#N/A</v>
      </c>
      <c r="J140" s="6" t="e">
        <v>#N/A</v>
      </c>
      <c r="K140" s="6" t="e">
        <v>#N/A</v>
      </c>
      <c r="L140" s="6" t="e">
        <v>#N/A</v>
      </c>
      <c r="M140" s="7" t="e">
        <v>#N/A</v>
      </c>
      <c r="N140" s="6" t="e">
        <v>#N/A</v>
      </c>
      <c r="O140" s="6" t="e">
        <v>#N/A</v>
      </c>
      <c r="P140" s="7" t="e">
        <v>#N/A</v>
      </c>
      <c r="Q140" s="7" t="e">
        <v>#N/A</v>
      </c>
      <c r="R140" s="7" t="e">
        <v>#N/A</v>
      </c>
      <c r="S140" s="7" t="e">
        <v>#N/A</v>
      </c>
      <c r="T140" s="7" t="e">
        <v>#N/A</v>
      </c>
      <c r="U140" s="7" t="e">
        <v>#N/A</v>
      </c>
      <c r="V140" s="6" t="e">
        <v>#N/A</v>
      </c>
      <c r="W140" s="6" t="e">
        <v>#N/A</v>
      </c>
      <c r="X140" s="7" t="e">
        <v>#N/A</v>
      </c>
      <c r="Z140" s="6" t="e">
        <f>VLOOKUP(H140,PortConfigOptions!$B$1:$R$89,2,FALSE)</f>
        <v>#N/A</v>
      </c>
      <c r="AA140" s="6" t="e">
        <f>VLOOKUP(H140,PortConfigOptions!$B$1:$R$89,3,FALSE)</f>
        <v>#N/A</v>
      </c>
      <c r="AB140" s="6" t="e">
        <f>VLOOKUP(H140,PortConfigOptions!$B$1:$R$89,4,FALSE)</f>
        <v>#N/A</v>
      </c>
      <c r="AC140" s="6" t="e">
        <f>VLOOKUP(H140,PortConfigOptions!$B$1:$R$89,5,FALSE)</f>
        <v>#N/A</v>
      </c>
      <c r="AD140" s="6" t="e">
        <f>VLOOKUP(H140,PortConfigOptions!$B$1:$R$89,6,FALSE)</f>
        <v>#N/A</v>
      </c>
      <c r="AE140" s="6" t="e">
        <f>VLOOKUP(H140,PortConfigOptions!$B$1:$R$89,7,FALSE)</f>
        <v>#N/A</v>
      </c>
      <c r="AF140" s="6" t="e">
        <f>VLOOKUP(H140,PortConfigOptions!$B$1:$R$89,8,FALSE)</f>
        <v>#N/A</v>
      </c>
      <c r="AG140" s="6" t="e">
        <f>VLOOKUP(H140,PortConfigOptions!$B$1:$R$89,9,FALSE)</f>
        <v>#N/A</v>
      </c>
      <c r="AH140" s="6" t="e">
        <f>VLOOKUP(H140,PortConfigOptions!$B$1:$R$89,10,FALSE)</f>
        <v>#N/A</v>
      </c>
      <c r="AI140" s="6" t="e">
        <f>VLOOKUP(H140,PortConfigOptions!$B$1:$R$89,11,FALSE)</f>
        <v>#N/A</v>
      </c>
      <c r="AJ140" s="6" t="e">
        <f>VLOOKUP(H140,PortConfigOptions!$B$1:$R$89,12,FALSE)</f>
        <v>#N/A</v>
      </c>
      <c r="AK140" s="6" t="e">
        <f>VLOOKUP(H140,PortConfigOptions!$B$1:$R$89,13,FALSE)</f>
        <v>#N/A</v>
      </c>
      <c r="AL140" s="6" t="e">
        <f>VLOOKUP(H140,PortConfigOptions!$B$1:$R$89,14,FALSE)</f>
        <v>#N/A</v>
      </c>
      <c r="AM140" s="6" t="e">
        <f>VLOOKUP(H140,PortConfigOptions!$B$1:$R$89,15,FALSE)</f>
        <v>#N/A</v>
      </c>
      <c r="AN140" s="6" t="e">
        <f>VLOOKUP(H140,PortConfigOptions!$B$1:$R$89,16,FALSE)</f>
        <v>#N/A</v>
      </c>
      <c r="AO140" s="6" t="e">
        <f>VLOOKUP(H140,PortConfigOptions!$B$1:$R$89,17,FALSE)</f>
        <v>#N/A</v>
      </c>
      <c r="AS140" s="7" t="s">
        <v>58</v>
      </c>
      <c r="AV140" s="6" t="s">
        <v>172</v>
      </c>
    </row>
    <row r="141" spans="1:48" x14ac:dyDescent="0.25">
      <c r="A141" s="6">
        <v>100</v>
      </c>
      <c r="B141" s="7">
        <v>142</v>
      </c>
      <c r="D141" s="7" t="s">
        <v>169</v>
      </c>
      <c r="E141" s="7" t="s">
        <v>6</v>
      </c>
      <c r="F141" s="7" t="s">
        <v>251</v>
      </c>
      <c r="G141" s="7" t="s">
        <v>172</v>
      </c>
      <c r="H141" s="6" t="s">
        <v>172</v>
      </c>
      <c r="I141" s="6" t="e">
        <v>#N/A</v>
      </c>
      <c r="J141" s="6" t="e">
        <v>#N/A</v>
      </c>
      <c r="K141" s="6" t="e">
        <v>#N/A</v>
      </c>
      <c r="L141" s="6" t="e">
        <v>#N/A</v>
      </c>
      <c r="M141" s="7" t="e">
        <v>#N/A</v>
      </c>
      <c r="N141" s="6" t="e">
        <v>#N/A</v>
      </c>
      <c r="O141" s="6" t="e">
        <v>#N/A</v>
      </c>
      <c r="P141" s="7" t="e">
        <v>#N/A</v>
      </c>
      <c r="Q141" s="7" t="e">
        <v>#N/A</v>
      </c>
      <c r="R141" s="7" t="e">
        <v>#N/A</v>
      </c>
      <c r="S141" s="7" t="e">
        <v>#N/A</v>
      </c>
      <c r="T141" s="7" t="e">
        <v>#N/A</v>
      </c>
      <c r="U141" s="7" t="e">
        <v>#N/A</v>
      </c>
      <c r="V141" s="6" t="e">
        <v>#N/A</v>
      </c>
      <c r="W141" s="6" t="e">
        <v>#N/A</v>
      </c>
      <c r="X141" s="7" t="e">
        <v>#N/A</v>
      </c>
      <c r="Z141" s="6" t="e">
        <f>VLOOKUP(H141,PortConfigOptions!$B$1:$R$89,2,FALSE)</f>
        <v>#N/A</v>
      </c>
      <c r="AA141" s="6" t="e">
        <f>VLOOKUP(H141,PortConfigOptions!$B$1:$R$89,3,FALSE)</f>
        <v>#N/A</v>
      </c>
      <c r="AB141" s="6" t="e">
        <f>VLOOKUP(H141,PortConfigOptions!$B$1:$R$89,4,FALSE)</f>
        <v>#N/A</v>
      </c>
      <c r="AC141" s="6" t="e">
        <f>VLOOKUP(H141,PortConfigOptions!$B$1:$R$89,5,FALSE)</f>
        <v>#N/A</v>
      </c>
      <c r="AD141" s="6" t="e">
        <f>VLOOKUP(H141,PortConfigOptions!$B$1:$R$89,6,FALSE)</f>
        <v>#N/A</v>
      </c>
      <c r="AE141" s="6" t="e">
        <f>VLOOKUP(H141,PortConfigOptions!$B$1:$R$89,7,FALSE)</f>
        <v>#N/A</v>
      </c>
      <c r="AF141" s="6" t="e">
        <f>VLOOKUP(H141,PortConfigOptions!$B$1:$R$89,8,FALSE)</f>
        <v>#N/A</v>
      </c>
      <c r="AG141" s="6" t="e">
        <f>VLOOKUP(H141,PortConfigOptions!$B$1:$R$89,9,FALSE)</f>
        <v>#N/A</v>
      </c>
      <c r="AH141" s="6" t="e">
        <f>VLOOKUP(H141,PortConfigOptions!$B$1:$R$89,10,FALSE)</f>
        <v>#N/A</v>
      </c>
      <c r="AI141" s="6" t="e">
        <f>VLOOKUP(H141,PortConfigOptions!$B$1:$R$89,11,FALSE)</f>
        <v>#N/A</v>
      </c>
      <c r="AJ141" s="6" t="e">
        <f>VLOOKUP(H141,PortConfigOptions!$B$1:$R$89,12,FALSE)</f>
        <v>#N/A</v>
      </c>
      <c r="AK141" s="6" t="e">
        <f>VLOOKUP(H141,PortConfigOptions!$B$1:$R$89,13,FALSE)</f>
        <v>#N/A</v>
      </c>
      <c r="AL141" s="6" t="e">
        <f>VLOOKUP(H141,PortConfigOptions!$B$1:$R$89,14,FALSE)</f>
        <v>#N/A</v>
      </c>
      <c r="AM141" s="6" t="e">
        <f>VLOOKUP(H141,PortConfigOptions!$B$1:$R$89,15,FALSE)</f>
        <v>#N/A</v>
      </c>
      <c r="AN141" s="6" t="e">
        <f>VLOOKUP(H141,PortConfigOptions!$B$1:$R$89,16,FALSE)</f>
        <v>#N/A</v>
      </c>
      <c r="AO141" s="6" t="e">
        <f>VLOOKUP(H141,PortConfigOptions!$B$1:$R$89,17,FALSE)</f>
        <v>#N/A</v>
      </c>
      <c r="AS141" s="7" t="s">
        <v>58</v>
      </c>
      <c r="AV141" s="6" t="s">
        <v>172</v>
      </c>
    </row>
    <row r="142" spans="1:48" x14ac:dyDescent="0.25">
      <c r="A142" s="6">
        <v>85</v>
      </c>
      <c r="B142" s="7">
        <v>18</v>
      </c>
      <c r="D142" s="7" t="s">
        <v>169</v>
      </c>
      <c r="E142" s="7" t="s">
        <v>6</v>
      </c>
      <c r="F142" s="7" t="s">
        <v>251</v>
      </c>
      <c r="G142" s="7" t="s">
        <v>173</v>
      </c>
      <c r="H142" s="6" t="s">
        <v>173</v>
      </c>
      <c r="I142" s="6" t="e">
        <v>#N/A</v>
      </c>
      <c r="J142" s="6" t="e">
        <v>#N/A</v>
      </c>
      <c r="K142" s="6" t="e">
        <v>#N/A</v>
      </c>
      <c r="L142" s="6" t="e">
        <v>#N/A</v>
      </c>
      <c r="M142" s="7" t="e">
        <v>#N/A</v>
      </c>
      <c r="N142" s="6" t="e">
        <v>#N/A</v>
      </c>
      <c r="O142" s="6" t="e">
        <v>#N/A</v>
      </c>
      <c r="P142" s="7" t="e">
        <v>#N/A</v>
      </c>
      <c r="Q142" s="7" t="e">
        <v>#N/A</v>
      </c>
      <c r="R142" s="7" t="e">
        <v>#N/A</v>
      </c>
      <c r="S142" s="7" t="e">
        <v>#N/A</v>
      </c>
      <c r="T142" s="7" t="e">
        <v>#N/A</v>
      </c>
      <c r="U142" s="7" t="e">
        <v>#N/A</v>
      </c>
      <c r="V142" s="6" t="e">
        <v>#N/A</v>
      </c>
      <c r="W142" s="6" t="e">
        <v>#N/A</v>
      </c>
      <c r="X142" s="7" t="e">
        <v>#N/A</v>
      </c>
      <c r="Z142" s="6" t="e">
        <f>VLOOKUP(H142,PortConfigOptions!$B$1:$R$89,2,FALSE)</f>
        <v>#N/A</v>
      </c>
      <c r="AA142" s="6" t="e">
        <f>VLOOKUP(H142,PortConfigOptions!$B$1:$R$89,3,FALSE)</f>
        <v>#N/A</v>
      </c>
      <c r="AB142" s="6" t="e">
        <f>VLOOKUP(H142,PortConfigOptions!$B$1:$R$89,4,FALSE)</f>
        <v>#N/A</v>
      </c>
      <c r="AC142" s="6" t="e">
        <f>VLOOKUP(H142,PortConfigOptions!$B$1:$R$89,5,FALSE)</f>
        <v>#N/A</v>
      </c>
      <c r="AD142" s="6" t="e">
        <f>VLOOKUP(H142,PortConfigOptions!$B$1:$R$89,6,FALSE)</f>
        <v>#N/A</v>
      </c>
      <c r="AE142" s="6" t="e">
        <f>VLOOKUP(H142,PortConfigOptions!$B$1:$R$89,7,FALSE)</f>
        <v>#N/A</v>
      </c>
      <c r="AF142" s="6" t="e">
        <f>VLOOKUP(H142,PortConfigOptions!$B$1:$R$89,8,FALSE)</f>
        <v>#N/A</v>
      </c>
      <c r="AG142" s="6" t="e">
        <f>VLOOKUP(H142,PortConfigOptions!$B$1:$R$89,9,FALSE)</f>
        <v>#N/A</v>
      </c>
      <c r="AH142" s="6" t="e">
        <f>VLOOKUP(H142,PortConfigOptions!$B$1:$R$89,10,FALSE)</f>
        <v>#N/A</v>
      </c>
      <c r="AI142" s="6" t="e">
        <f>VLOOKUP(H142,PortConfigOptions!$B$1:$R$89,11,FALSE)</f>
        <v>#N/A</v>
      </c>
      <c r="AJ142" s="6" t="e">
        <f>VLOOKUP(H142,PortConfigOptions!$B$1:$R$89,12,FALSE)</f>
        <v>#N/A</v>
      </c>
      <c r="AK142" s="6" t="e">
        <f>VLOOKUP(H142,PortConfigOptions!$B$1:$R$89,13,FALSE)</f>
        <v>#N/A</v>
      </c>
      <c r="AL142" s="6" t="e">
        <f>VLOOKUP(H142,PortConfigOptions!$B$1:$R$89,14,FALSE)</f>
        <v>#N/A</v>
      </c>
      <c r="AM142" s="6" t="e">
        <f>VLOOKUP(H142,PortConfigOptions!$B$1:$R$89,15,FALSE)</f>
        <v>#N/A</v>
      </c>
      <c r="AN142" s="6" t="e">
        <f>VLOOKUP(H142,PortConfigOptions!$B$1:$R$89,16,FALSE)</f>
        <v>#N/A</v>
      </c>
      <c r="AO142" s="6" t="e">
        <f>VLOOKUP(H142,PortConfigOptions!$B$1:$R$89,17,FALSE)</f>
        <v>#N/A</v>
      </c>
      <c r="AS142" s="7" t="s">
        <v>58</v>
      </c>
      <c r="AV142" s="6" t="s">
        <v>173</v>
      </c>
    </row>
    <row r="143" spans="1:48" x14ac:dyDescent="0.25">
      <c r="A143" s="6">
        <v>91</v>
      </c>
      <c r="B143" s="7">
        <v>97</v>
      </c>
      <c r="D143" s="7" t="s">
        <v>169</v>
      </c>
      <c r="E143" s="7" t="s">
        <v>6</v>
      </c>
      <c r="F143" s="7" t="s">
        <v>251</v>
      </c>
      <c r="G143" s="7" t="s">
        <v>173</v>
      </c>
      <c r="H143" s="6" t="s">
        <v>173</v>
      </c>
      <c r="I143" s="6" t="e">
        <v>#N/A</v>
      </c>
      <c r="J143" s="6" t="e">
        <v>#N/A</v>
      </c>
      <c r="K143" s="6" t="e">
        <v>#N/A</v>
      </c>
      <c r="L143" s="6" t="e">
        <v>#N/A</v>
      </c>
      <c r="M143" s="7" t="e">
        <v>#N/A</v>
      </c>
      <c r="N143" s="6" t="e">
        <v>#N/A</v>
      </c>
      <c r="O143" s="6" t="e">
        <v>#N/A</v>
      </c>
      <c r="P143" s="7" t="e">
        <v>#N/A</v>
      </c>
      <c r="Q143" s="7" t="e">
        <v>#N/A</v>
      </c>
      <c r="R143" s="7" t="e">
        <v>#N/A</v>
      </c>
      <c r="S143" s="7" t="e">
        <v>#N/A</v>
      </c>
      <c r="T143" s="7" t="e">
        <v>#N/A</v>
      </c>
      <c r="U143" s="7" t="e">
        <v>#N/A</v>
      </c>
      <c r="V143" s="6" t="e">
        <v>#N/A</v>
      </c>
      <c r="W143" s="6" t="e">
        <v>#N/A</v>
      </c>
      <c r="X143" s="7" t="e">
        <v>#N/A</v>
      </c>
      <c r="Z143" s="6" t="e">
        <f>VLOOKUP(H143,PortConfigOptions!$B$1:$R$89,2,FALSE)</f>
        <v>#N/A</v>
      </c>
      <c r="AA143" s="6" t="e">
        <f>VLOOKUP(H143,PortConfigOptions!$B$1:$R$89,3,FALSE)</f>
        <v>#N/A</v>
      </c>
      <c r="AB143" s="6" t="e">
        <f>VLOOKUP(H143,PortConfigOptions!$B$1:$R$89,4,FALSE)</f>
        <v>#N/A</v>
      </c>
      <c r="AC143" s="6" t="e">
        <f>VLOOKUP(H143,PortConfigOptions!$B$1:$R$89,5,FALSE)</f>
        <v>#N/A</v>
      </c>
      <c r="AD143" s="6" t="e">
        <f>VLOOKUP(H143,PortConfigOptions!$B$1:$R$89,6,FALSE)</f>
        <v>#N/A</v>
      </c>
      <c r="AE143" s="6" t="e">
        <f>VLOOKUP(H143,PortConfigOptions!$B$1:$R$89,7,FALSE)</f>
        <v>#N/A</v>
      </c>
      <c r="AF143" s="6" t="e">
        <f>VLOOKUP(H143,PortConfigOptions!$B$1:$R$89,8,FALSE)</f>
        <v>#N/A</v>
      </c>
      <c r="AG143" s="6" t="e">
        <f>VLOOKUP(H143,PortConfigOptions!$B$1:$R$89,9,FALSE)</f>
        <v>#N/A</v>
      </c>
      <c r="AH143" s="6" t="e">
        <f>VLOOKUP(H143,PortConfigOptions!$B$1:$R$89,10,FALSE)</f>
        <v>#N/A</v>
      </c>
      <c r="AI143" s="6" t="e">
        <f>VLOOKUP(H143,PortConfigOptions!$B$1:$R$89,11,FALSE)</f>
        <v>#N/A</v>
      </c>
      <c r="AJ143" s="6" t="e">
        <f>VLOOKUP(H143,PortConfigOptions!$B$1:$R$89,12,FALSE)</f>
        <v>#N/A</v>
      </c>
      <c r="AK143" s="6" t="e">
        <f>VLOOKUP(H143,PortConfigOptions!$B$1:$R$89,13,FALSE)</f>
        <v>#N/A</v>
      </c>
      <c r="AL143" s="6" t="e">
        <f>VLOOKUP(H143,PortConfigOptions!$B$1:$R$89,14,FALSE)</f>
        <v>#N/A</v>
      </c>
      <c r="AM143" s="6" t="e">
        <f>VLOOKUP(H143,PortConfigOptions!$B$1:$R$89,15,FALSE)</f>
        <v>#N/A</v>
      </c>
      <c r="AN143" s="6" t="e">
        <f>VLOOKUP(H143,PortConfigOptions!$B$1:$R$89,16,FALSE)</f>
        <v>#N/A</v>
      </c>
      <c r="AO143" s="6" t="e">
        <f>VLOOKUP(H143,PortConfigOptions!$B$1:$R$89,17,FALSE)</f>
        <v>#N/A</v>
      </c>
      <c r="AS143" s="7" t="s">
        <v>58</v>
      </c>
      <c r="AV143" s="6" t="s">
        <v>173</v>
      </c>
    </row>
    <row r="144" spans="1:48" x14ac:dyDescent="0.25">
      <c r="A144" s="6">
        <v>96</v>
      </c>
      <c r="B144" s="7">
        <v>124</v>
      </c>
      <c r="D144" s="7" t="s">
        <v>169</v>
      </c>
      <c r="E144" s="7" t="s">
        <v>6</v>
      </c>
      <c r="F144" s="7" t="s">
        <v>251</v>
      </c>
      <c r="G144" s="7" t="s">
        <v>173</v>
      </c>
      <c r="H144" s="6" t="s">
        <v>173</v>
      </c>
      <c r="I144" s="6" t="e">
        <v>#N/A</v>
      </c>
      <c r="J144" s="6" t="e">
        <v>#N/A</v>
      </c>
      <c r="K144" s="6" t="e">
        <v>#N/A</v>
      </c>
      <c r="L144" s="6" t="e">
        <v>#N/A</v>
      </c>
      <c r="M144" s="7" t="e">
        <v>#N/A</v>
      </c>
      <c r="N144" s="6" t="e">
        <v>#N/A</v>
      </c>
      <c r="O144" s="6" t="e">
        <v>#N/A</v>
      </c>
      <c r="P144" s="7" t="e">
        <v>#N/A</v>
      </c>
      <c r="Q144" s="7" t="e">
        <v>#N/A</v>
      </c>
      <c r="R144" s="7" t="e">
        <v>#N/A</v>
      </c>
      <c r="S144" s="7" t="e">
        <v>#N/A</v>
      </c>
      <c r="T144" s="7" t="e">
        <v>#N/A</v>
      </c>
      <c r="U144" s="7" t="e">
        <v>#N/A</v>
      </c>
      <c r="V144" s="6" t="e">
        <v>#N/A</v>
      </c>
      <c r="W144" s="6" t="e">
        <v>#N/A</v>
      </c>
      <c r="X144" s="7" t="e">
        <v>#N/A</v>
      </c>
      <c r="Z144" s="6" t="e">
        <f>VLOOKUP(H144,PortConfigOptions!$B$1:$R$89,2,FALSE)</f>
        <v>#N/A</v>
      </c>
      <c r="AA144" s="6" t="e">
        <f>VLOOKUP(H144,PortConfigOptions!$B$1:$R$89,3,FALSE)</f>
        <v>#N/A</v>
      </c>
      <c r="AB144" s="6" t="e">
        <f>VLOOKUP(H144,PortConfigOptions!$B$1:$R$89,4,FALSE)</f>
        <v>#N/A</v>
      </c>
      <c r="AC144" s="6" t="e">
        <f>VLOOKUP(H144,PortConfigOptions!$B$1:$R$89,5,FALSE)</f>
        <v>#N/A</v>
      </c>
      <c r="AD144" s="6" t="e">
        <f>VLOOKUP(H144,PortConfigOptions!$B$1:$R$89,6,FALSE)</f>
        <v>#N/A</v>
      </c>
      <c r="AE144" s="6" t="e">
        <f>VLOOKUP(H144,PortConfigOptions!$B$1:$R$89,7,FALSE)</f>
        <v>#N/A</v>
      </c>
      <c r="AF144" s="6" t="e">
        <f>VLOOKUP(H144,PortConfigOptions!$B$1:$R$89,8,FALSE)</f>
        <v>#N/A</v>
      </c>
      <c r="AG144" s="6" t="e">
        <f>VLOOKUP(H144,PortConfigOptions!$B$1:$R$89,9,FALSE)</f>
        <v>#N/A</v>
      </c>
      <c r="AH144" s="6" t="e">
        <f>VLOOKUP(H144,PortConfigOptions!$B$1:$R$89,10,FALSE)</f>
        <v>#N/A</v>
      </c>
      <c r="AI144" s="6" t="e">
        <f>VLOOKUP(H144,PortConfigOptions!$B$1:$R$89,11,FALSE)</f>
        <v>#N/A</v>
      </c>
      <c r="AJ144" s="6" t="e">
        <f>VLOOKUP(H144,PortConfigOptions!$B$1:$R$89,12,FALSE)</f>
        <v>#N/A</v>
      </c>
      <c r="AK144" s="6" t="e">
        <f>VLOOKUP(H144,PortConfigOptions!$B$1:$R$89,13,FALSE)</f>
        <v>#N/A</v>
      </c>
      <c r="AL144" s="6" t="e">
        <f>VLOOKUP(H144,PortConfigOptions!$B$1:$R$89,14,FALSE)</f>
        <v>#N/A</v>
      </c>
      <c r="AM144" s="6" t="e">
        <f>VLOOKUP(H144,PortConfigOptions!$B$1:$R$89,15,FALSE)</f>
        <v>#N/A</v>
      </c>
      <c r="AN144" s="6" t="e">
        <f>VLOOKUP(H144,PortConfigOptions!$B$1:$R$89,16,FALSE)</f>
        <v>#N/A</v>
      </c>
      <c r="AO144" s="6" t="e">
        <f>VLOOKUP(H144,PortConfigOptions!$B$1:$R$89,17,FALSE)</f>
        <v>#N/A</v>
      </c>
      <c r="AS144" s="7" t="s">
        <v>58</v>
      </c>
      <c r="AV144" s="6" t="s">
        <v>173</v>
      </c>
    </row>
    <row r="145" spans="1:48" x14ac:dyDescent="0.25">
      <c r="A145" s="6">
        <v>101</v>
      </c>
      <c r="B145" s="7">
        <v>143</v>
      </c>
      <c r="D145" s="7" t="s">
        <v>169</v>
      </c>
      <c r="E145" s="7" t="s">
        <v>6</v>
      </c>
      <c r="F145" s="7" t="s">
        <v>251</v>
      </c>
      <c r="G145" s="7" t="s">
        <v>173</v>
      </c>
      <c r="H145" s="6" t="s">
        <v>173</v>
      </c>
      <c r="I145" s="6" t="e">
        <v>#N/A</v>
      </c>
      <c r="J145" s="6" t="e">
        <v>#N/A</v>
      </c>
      <c r="K145" s="6" t="e">
        <v>#N/A</v>
      </c>
      <c r="L145" s="6" t="e">
        <v>#N/A</v>
      </c>
      <c r="M145" s="7" t="e">
        <v>#N/A</v>
      </c>
      <c r="N145" s="6" t="e">
        <v>#N/A</v>
      </c>
      <c r="O145" s="6" t="e">
        <v>#N/A</v>
      </c>
      <c r="P145" s="7" t="e">
        <v>#N/A</v>
      </c>
      <c r="Q145" s="7" t="e">
        <v>#N/A</v>
      </c>
      <c r="R145" s="7" t="e">
        <v>#N/A</v>
      </c>
      <c r="S145" s="7" t="e">
        <v>#N/A</v>
      </c>
      <c r="T145" s="7" t="e">
        <v>#N/A</v>
      </c>
      <c r="U145" s="7" t="e">
        <v>#N/A</v>
      </c>
      <c r="V145" s="6" t="e">
        <v>#N/A</v>
      </c>
      <c r="W145" s="6" t="e">
        <v>#N/A</v>
      </c>
      <c r="X145" s="7" t="e">
        <v>#N/A</v>
      </c>
      <c r="Z145" s="6" t="e">
        <f>VLOOKUP(H145,PortConfigOptions!$B$1:$R$89,2,FALSE)</f>
        <v>#N/A</v>
      </c>
      <c r="AA145" s="6" t="e">
        <f>VLOOKUP(H145,PortConfigOptions!$B$1:$R$89,3,FALSE)</f>
        <v>#N/A</v>
      </c>
      <c r="AB145" s="6" t="e">
        <f>VLOOKUP(H145,PortConfigOptions!$B$1:$R$89,4,FALSE)</f>
        <v>#N/A</v>
      </c>
      <c r="AC145" s="6" t="e">
        <f>VLOOKUP(H145,PortConfigOptions!$B$1:$R$89,5,FALSE)</f>
        <v>#N/A</v>
      </c>
      <c r="AD145" s="6" t="e">
        <f>VLOOKUP(H145,PortConfigOptions!$B$1:$R$89,6,FALSE)</f>
        <v>#N/A</v>
      </c>
      <c r="AE145" s="6" t="e">
        <f>VLOOKUP(H145,PortConfigOptions!$B$1:$R$89,7,FALSE)</f>
        <v>#N/A</v>
      </c>
      <c r="AF145" s="6" t="e">
        <f>VLOOKUP(H145,PortConfigOptions!$B$1:$R$89,8,FALSE)</f>
        <v>#N/A</v>
      </c>
      <c r="AG145" s="6" t="e">
        <f>VLOOKUP(H145,PortConfigOptions!$B$1:$R$89,9,FALSE)</f>
        <v>#N/A</v>
      </c>
      <c r="AH145" s="6" t="e">
        <f>VLOOKUP(H145,PortConfigOptions!$B$1:$R$89,10,FALSE)</f>
        <v>#N/A</v>
      </c>
      <c r="AI145" s="6" t="e">
        <f>VLOOKUP(H145,PortConfigOptions!$B$1:$R$89,11,FALSE)</f>
        <v>#N/A</v>
      </c>
      <c r="AJ145" s="6" t="e">
        <f>VLOOKUP(H145,PortConfigOptions!$B$1:$R$89,12,FALSE)</f>
        <v>#N/A</v>
      </c>
      <c r="AK145" s="6" t="e">
        <f>VLOOKUP(H145,PortConfigOptions!$B$1:$R$89,13,FALSE)</f>
        <v>#N/A</v>
      </c>
      <c r="AL145" s="6" t="e">
        <f>VLOOKUP(H145,PortConfigOptions!$B$1:$R$89,14,FALSE)</f>
        <v>#N/A</v>
      </c>
      <c r="AM145" s="6" t="e">
        <f>VLOOKUP(H145,PortConfigOptions!$B$1:$R$89,15,FALSE)</f>
        <v>#N/A</v>
      </c>
      <c r="AN145" s="6" t="e">
        <f>VLOOKUP(H145,PortConfigOptions!$B$1:$R$89,16,FALSE)</f>
        <v>#N/A</v>
      </c>
      <c r="AO145" s="6" t="e">
        <f>VLOOKUP(H145,PortConfigOptions!$B$1:$R$89,17,FALSE)</f>
        <v>#N/A</v>
      </c>
      <c r="AS145" s="7" t="s">
        <v>58</v>
      </c>
      <c r="AV145" s="6" t="s">
        <v>173</v>
      </c>
    </row>
    <row r="146" spans="1:48" x14ac:dyDescent="0.25">
      <c r="A146" s="6">
        <v>115</v>
      </c>
      <c r="B146" s="7">
        <v>100</v>
      </c>
      <c r="D146" s="7" t="s">
        <v>197</v>
      </c>
      <c r="E146" s="7" t="s">
        <v>6</v>
      </c>
      <c r="F146" s="7" t="s">
        <v>251</v>
      </c>
      <c r="G146" s="7" t="s">
        <v>0</v>
      </c>
      <c r="H146" s="6" t="s">
        <v>0</v>
      </c>
      <c r="I146" s="6" t="e">
        <v>#N/A</v>
      </c>
      <c r="J146" s="6" t="e">
        <v>#N/A</v>
      </c>
      <c r="K146" s="6" t="e">
        <v>#N/A</v>
      </c>
      <c r="L146" s="6" t="e">
        <v>#N/A</v>
      </c>
      <c r="M146" s="7" t="e">
        <v>#N/A</v>
      </c>
      <c r="N146" s="6" t="e">
        <v>#N/A</v>
      </c>
      <c r="O146" s="6" t="e">
        <v>#N/A</v>
      </c>
      <c r="P146" s="7" t="e">
        <v>#N/A</v>
      </c>
      <c r="Q146" s="7" t="e">
        <v>#N/A</v>
      </c>
      <c r="R146" s="7" t="e">
        <v>#N/A</v>
      </c>
      <c r="S146" s="7" t="e">
        <v>#N/A</v>
      </c>
      <c r="T146" s="7" t="e">
        <v>#N/A</v>
      </c>
      <c r="U146" s="7" t="e">
        <v>#N/A</v>
      </c>
      <c r="V146" s="6" t="e">
        <v>#N/A</v>
      </c>
      <c r="W146" s="6" t="e">
        <v>#N/A</v>
      </c>
      <c r="X146" s="7" t="e">
        <v>#N/A</v>
      </c>
      <c r="Z146" s="6" t="e">
        <f>VLOOKUP(H146,PortConfigOptions!$B$1:$R$89,2,FALSE)</f>
        <v>#N/A</v>
      </c>
      <c r="AA146" s="6" t="e">
        <f>VLOOKUP(H146,PortConfigOptions!$B$1:$R$89,3,FALSE)</f>
        <v>#N/A</v>
      </c>
      <c r="AB146" s="6" t="e">
        <f>VLOOKUP(H146,PortConfigOptions!$B$1:$R$89,4,FALSE)</f>
        <v>#N/A</v>
      </c>
      <c r="AC146" s="6" t="e">
        <f>VLOOKUP(H146,PortConfigOptions!$B$1:$R$89,5,FALSE)</f>
        <v>#N/A</v>
      </c>
      <c r="AD146" s="6" t="e">
        <f>VLOOKUP(H146,PortConfigOptions!$B$1:$R$89,6,FALSE)</f>
        <v>#N/A</v>
      </c>
      <c r="AE146" s="6" t="e">
        <f>VLOOKUP(H146,PortConfigOptions!$B$1:$R$89,7,FALSE)</f>
        <v>#N/A</v>
      </c>
      <c r="AF146" s="6" t="e">
        <f>VLOOKUP(H146,PortConfigOptions!$B$1:$R$89,8,FALSE)</f>
        <v>#N/A</v>
      </c>
      <c r="AG146" s="6" t="e">
        <f>VLOOKUP(H146,PortConfigOptions!$B$1:$R$89,9,FALSE)</f>
        <v>#N/A</v>
      </c>
      <c r="AH146" s="6" t="e">
        <f>VLOOKUP(H146,PortConfigOptions!$B$1:$R$89,10,FALSE)</f>
        <v>#N/A</v>
      </c>
      <c r="AI146" s="6" t="e">
        <f>VLOOKUP(H146,PortConfigOptions!$B$1:$R$89,11,FALSE)</f>
        <v>#N/A</v>
      </c>
      <c r="AJ146" s="6" t="e">
        <f>VLOOKUP(H146,PortConfigOptions!$B$1:$R$89,12,FALSE)</f>
        <v>#N/A</v>
      </c>
      <c r="AK146" s="6" t="e">
        <f>VLOOKUP(H146,PortConfigOptions!$B$1:$R$89,13,FALSE)</f>
        <v>#N/A</v>
      </c>
      <c r="AL146" s="6" t="e">
        <f>VLOOKUP(H146,PortConfigOptions!$B$1:$R$89,14,FALSE)</f>
        <v>#N/A</v>
      </c>
      <c r="AM146" s="6" t="e">
        <f>VLOOKUP(H146,PortConfigOptions!$B$1:$R$89,15,FALSE)</f>
        <v>#N/A</v>
      </c>
      <c r="AN146" s="6" t="e">
        <f>VLOOKUP(H146,PortConfigOptions!$B$1:$R$89,16,FALSE)</f>
        <v>#N/A</v>
      </c>
      <c r="AO146" s="6" t="e">
        <f>VLOOKUP(H146,PortConfigOptions!$B$1:$R$89,17,FALSE)</f>
        <v>#N/A</v>
      </c>
      <c r="AS146" s="7" t="s">
        <v>272</v>
      </c>
      <c r="AV146" s="6" t="s">
        <v>0</v>
      </c>
    </row>
    <row r="147" spans="1:48" x14ac:dyDescent="0.25">
      <c r="A147" s="6">
        <v>114</v>
      </c>
      <c r="B147" s="7">
        <v>99</v>
      </c>
      <c r="D147" s="7" t="s">
        <v>195</v>
      </c>
      <c r="E147" s="7" t="s">
        <v>6</v>
      </c>
      <c r="F147" s="7" t="s">
        <v>251</v>
      </c>
      <c r="G147" s="7" t="s">
        <v>196</v>
      </c>
      <c r="H147" s="6" t="s">
        <v>196</v>
      </c>
      <c r="I147" s="6" t="e">
        <v>#N/A</v>
      </c>
      <c r="J147" s="6" t="e">
        <v>#N/A</v>
      </c>
      <c r="K147" s="6" t="e">
        <v>#N/A</v>
      </c>
      <c r="L147" s="6" t="e">
        <v>#N/A</v>
      </c>
      <c r="M147" s="7" t="e">
        <v>#N/A</v>
      </c>
      <c r="N147" s="6" t="e">
        <v>#N/A</v>
      </c>
      <c r="O147" s="6" t="e">
        <v>#N/A</v>
      </c>
      <c r="P147" s="7" t="e">
        <v>#N/A</v>
      </c>
      <c r="Q147" s="7" t="e">
        <v>#N/A</v>
      </c>
      <c r="R147" s="7" t="e">
        <v>#N/A</v>
      </c>
      <c r="S147" s="7" t="e">
        <v>#N/A</v>
      </c>
      <c r="T147" s="7" t="e">
        <v>#N/A</v>
      </c>
      <c r="U147" s="7" t="e">
        <v>#N/A</v>
      </c>
      <c r="V147" s="6" t="e">
        <v>#N/A</v>
      </c>
      <c r="W147" s="6" t="e">
        <v>#N/A</v>
      </c>
      <c r="X147" s="7" t="e">
        <v>#N/A</v>
      </c>
      <c r="Z147" s="6" t="e">
        <f>VLOOKUP(H147,PortConfigOptions!$B$1:$R$89,2,FALSE)</f>
        <v>#N/A</v>
      </c>
      <c r="AA147" s="6" t="e">
        <f>VLOOKUP(H147,PortConfigOptions!$B$1:$R$89,3,FALSE)</f>
        <v>#N/A</v>
      </c>
      <c r="AB147" s="6" t="e">
        <f>VLOOKUP(H147,PortConfigOptions!$B$1:$R$89,4,FALSE)</f>
        <v>#N/A</v>
      </c>
      <c r="AC147" s="6" t="e">
        <f>VLOOKUP(H147,PortConfigOptions!$B$1:$R$89,5,FALSE)</f>
        <v>#N/A</v>
      </c>
      <c r="AD147" s="6" t="e">
        <f>VLOOKUP(H147,PortConfigOptions!$B$1:$R$89,6,FALSE)</f>
        <v>#N/A</v>
      </c>
      <c r="AE147" s="6" t="e">
        <f>VLOOKUP(H147,PortConfigOptions!$B$1:$R$89,7,FALSE)</f>
        <v>#N/A</v>
      </c>
      <c r="AF147" s="6" t="e">
        <f>VLOOKUP(H147,PortConfigOptions!$B$1:$R$89,8,FALSE)</f>
        <v>#N/A</v>
      </c>
      <c r="AG147" s="6" t="e">
        <f>VLOOKUP(H147,PortConfigOptions!$B$1:$R$89,9,FALSE)</f>
        <v>#N/A</v>
      </c>
      <c r="AH147" s="6" t="e">
        <f>VLOOKUP(H147,PortConfigOptions!$B$1:$R$89,10,FALSE)</f>
        <v>#N/A</v>
      </c>
      <c r="AI147" s="6" t="e">
        <f>VLOOKUP(H147,PortConfigOptions!$B$1:$R$89,11,FALSE)</f>
        <v>#N/A</v>
      </c>
      <c r="AJ147" s="6" t="e">
        <f>VLOOKUP(H147,PortConfigOptions!$B$1:$R$89,12,FALSE)</f>
        <v>#N/A</v>
      </c>
      <c r="AK147" s="6" t="e">
        <f>VLOOKUP(H147,PortConfigOptions!$B$1:$R$89,13,FALSE)</f>
        <v>#N/A</v>
      </c>
      <c r="AL147" s="6" t="e">
        <f>VLOOKUP(H147,PortConfigOptions!$B$1:$R$89,14,FALSE)</f>
        <v>#N/A</v>
      </c>
      <c r="AM147" s="6" t="e">
        <f>VLOOKUP(H147,PortConfigOptions!$B$1:$R$89,15,FALSE)</f>
        <v>#N/A</v>
      </c>
      <c r="AN147" s="6" t="e">
        <f>VLOOKUP(H147,PortConfigOptions!$B$1:$R$89,16,FALSE)</f>
        <v>#N/A</v>
      </c>
      <c r="AO147" s="6" t="e">
        <f>VLOOKUP(H147,PortConfigOptions!$B$1:$R$89,17,FALSE)</f>
        <v>#N/A</v>
      </c>
      <c r="AS147" s="7" t="s">
        <v>272</v>
      </c>
      <c r="AV147" s="6" t="s">
        <v>196</v>
      </c>
    </row>
  </sheetData>
  <autoFilter ref="A3:AV147"/>
  <customSheetViews>
    <customSheetView guid="{AB8E8BA2-0521-46C5-947F-61508E76D025}" scale="60" showAutoFilter="1">
      <pane ySplit="3" topLeftCell="A7" activePane="bottomLeft" state="frozen"/>
      <selection pane="bottomLeft" activeCell="H17" sqref="H17"/>
      <pageMargins left="0.7" right="0.7" top="0.75" bottom="0.75" header="0.3" footer="0.3"/>
      <autoFilter ref="A3:M147">
        <sortState ref="A4:Z147">
          <sortCondition ref="A3:A147"/>
        </sortState>
      </autoFilter>
    </customSheetView>
    <customSheetView guid="{EAB3996E-FAEF-43F6-8577-BE0258DFEECA}" scale="60" showAutoFilter="1">
      <pane ySplit="3" topLeftCell="A61" activePane="bottomLeft" state="frozen"/>
      <selection pane="bottomLeft" activeCell="B75" sqref="B75"/>
      <pageMargins left="0.7" right="0.7" top="0.75" bottom="0.75" header="0.3" footer="0.3"/>
      <pageSetup orientation="portrait" r:id="rId1"/>
      <autoFilter ref="A3:M147">
        <sortState ref="A4:Z147">
          <sortCondition ref="A3:A147"/>
        </sortState>
      </autoFilter>
    </customSheetView>
  </customSheetView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R89"/>
  <sheetViews>
    <sheetView topLeftCell="A7" zoomScale="55" zoomScaleNormal="55" workbookViewId="0">
      <selection activeCell="E35" sqref="E35"/>
    </sheetView>
  </sheetViews>
  <sheetFormatPr defaultColWidth="7.28515625" defaultRowHeight="15" x14ac:dyDescent="0.25"/>
  <cols>
    <col min="1" max="1" width="21.28515625" bestFit="1" customWidth="1"/>
    <col min="2" max="2" width="8.42578125" bestFit="1" customWidth="1"/>
    <col min="3" max="5" width="11.140625" bestFit="1" customWidth="1"/>
    <col min="6" max="6" width="41.28515625" bestFit="1" customWidth="1"/>
    <col min="7" max="7" width="80.5703125" customWidth="1"/>
    <col min="8" max="8" width="26.5703125" bestFit="1" customWidth="1"/>
    <col min="9" max="13" width="11.140625" bestFit="1" customWidth="1"/>
    <col min="14" max="14" width="90.7109375" bestFit="1" customWidth="1"/>
    <col min="15" max="15" width="11.140625" bestFit="1" customWidth="1"/>
    <col min="16" max="16" width="30.140625" bestFit="1" customWidth="1"/>
    <col min="17" max="17" width="18.28515625" bestFit="1" customWidth="1"/>
    <col min="18" max="18" width="34.140625" bestFit="1" customWidth="1"/>
  </cols>
  <sheetData>
    <row r="1" spans="1:18" s="4" customFormat="1" ht="165.75" x14ac:dyDescent="0.25">
      <c r="A1" s="4" t="s">
        <v>509</v>
      </c>
      <c r="B1" s="4" t="s">
        <v>510</v>
      </c>
      <c r="C1" s="5" t="s">
        <v>432</v>
      </c>
      <c r="D1" s="5" t="s">
        <v>428</v>
      </c>
      <c r="E1" s="5" t="s">
        <v>448</v>
      </c>
      <c r="F1" s="5" t="s">
        <v>444</v>
      </c>
      <c r="G1" s="5" t="s">
        <v>440</v>
      </c>
      <c r="H1" s="5" t="s">
        <v>436</v>
      </c>
      <c r="I1" s="5" t="s">
        <v>409</v>
      </c>
      <c r="J1" s="5" t="s">
        <v>401</v>
      </c>
      <c r="K1" s="5" t="s">
        <v>415</v>
      </c>
      <c r="L1" s="5" t="s">
        <v>456</v>
      </c>
      <c r="M1" s="5" t="s">
        <v>452</v>
      </c>
      <c r="N1" s="5" t="s">
        <v>419</v>
      </c>
      <c r="O1" s="5" t="s">
        <v>424</v>
      </c>
      <c r="P1" s="5" t="s">
        <v>404</v>
      </c>
      <c r="Q1" s="5" t="s">
        <v>460</v>
      </c>
      <c r="R1" s="5" t="s">
        <v>411</v>
      </c>
    </row>
    <row r="2" spans="1:18" ht="14.45" x14ac:dyDescent="0.3">
      <c r="A2" t="s">
        <v>511</v>
      </c>
      <c r="B2" t="s">
        <v>321</v>
      </c>
      <c r="C2" t="s">
        <v>512</v>
      </c>
      <c r="D2" t="s">
        <v>512</v>
      </c>
      <c r="E2" t="s">
        <v>512</v>
      </c>
      <c r="F2" t="s">
        <v>513</v>
      </c>
      <c r="G2" t="s">
        <v>514</v>
      </c>
      <c r="H2" t="s">
        <v>515</v>
      </c>
      <c r="I2" t="s">
        <v>512</v>
      </c>
      <c r="J2" t="s">
        <v>512</v>
      </c>
      <c r="K2" t="s">
        <v>512</v>
      </c>
      <c r="L2" t="s">
        <v>512</v>
      </c>
      <c r="M2" t="s">
        <v>512</v>
      </c>
      <c r="N2" t="s">
        <v>516</v>
      </c>
      <c r="O2" t="s">
        <v>512</v>
      </c>
      <c r="P2" t="s">
        <v>517</v>
      </c>
      <c r="Q2" t="s">
        <v>518</v>
      </c>
      <c r="R2" t="s">
        <v>519</v>
      </c>
    </row>
    <row r="3" spans="1:18" ht="14.45" x14ac:dyDescent="0.3">
      <c r="A3" t="s">
        <v>520</v>
      </c>
      <c r="B3" t="s">
        <v>333</v>
      </c>
      <c r="C3" t="s">
        <v>512</v>
      </c>
      <c r="D3" t="s">
        <v>512</v>
      </c>
      <c r="E3" t="s">
        <v>512</v>
      </c>
      <c r="F3" t="s">
        <v>513</v>
      </c>
      <c r="G3" t="s">
        <v>521</v>
      </c>
      <c r="H3" t="s">
        <v>515</v>
      </c>
      <c r="I3" t="s">
        <v>512</v>
      </c>
      <c r="J3" t="s">
        <v>512</v>
      </c>
      <c r="K3" t="s">
        <v>512</v>
      </c>
      <c r="L3" t="s">
        <v>512</v>
      </c>
      <c r="M3" t="s">
        <v>512</v>
      </c>
      <c r="N3" t="s">
        <v>516</v>
      </c>
      <c r="O3" t="s">
        <v>512</v>
      </c>
      <c r="P3" t="s">
        <v>517</v>
      </c>
      <c r="Q3" t="s">
        <v>518</v>
      </c>
    </row>
    <row r="4" spans="1:18" ht="14.45" x14ac:dyDescent="0.3">
      <c r="A4" t="s">
        <v>522</v>
      </c>
      <c r="B4" t="s">
        <v>347</v>
      </c>
      <c r="C4" t="s">
        <v>512</v>
      </c>
      <c r="D4" t="s">
        <v>512</v>
      </c>
      <c r="E4" t="s">
        <v>512</v>
      </c>
      <c r="F4" t="s">
        <v>513</v>
      </c>
      <c r="G4" t="s">
        <v>523</v>
      </c>
      <c r="H4" t="s">
        <v>515</v>
      </c>
      <c r="I4" t="s">
        <v>512</v>
      </c>
      <c r="J4" t="s">
        <v>512</v>
      </c>
      <c r="K4" t="s">
        <v>512</v>
      </c>
      <c r="L4" t="s">
        <v>512</v>
      </c>
      <c r="M4" t="s">
        <v>512</v>
      </c>
      <c r="N4" t="s">
        <v>516</v>
      </c>
      <c r="O4" t="s">
        <v>512</v>
      </c>
      <c r="P4" t="s">
        <v>517</v>
      </c>
      <c r="Q4" t="s">
        <v>518</v>
      </c>
    </row>
    <row r="5" spans="1:18" ht="14.45" x14ac:dyDescent="0.3">
      <c r="A5" t="s">
        <v>524</v>
      </c>
      <c r="B5" t="s">
        <v>284</v>
      </c>
      <c r="C5" t="s">
        <v>512</v>
      </c>
      <c r="D5" t="s">
        <v>512</v>
      </c>
      <c r="E5" t="s">
        <v>512</v>
      </c>
      <c r="F5" t="s">
        <v>513</v>
      </c>
      <c r="G5" t="s">
        <v>525</v>
      </c>
      <c r="H5" t="s">
        <v>515</v>
      </c>
      <c r="I5" t="s">
        <v>512</v>
      </c>
      <c r="J5" t="s">
        <v>512</v>
      </c>
      <c r="K5" t="s">
        <v>512</v>
      </c>
      <c r="L5" t="s">
        <v>512</v>
      </c>
      <c r="M5" t="s">
        <v>512</v>
      </c>
      <c r="N5" t="s">
        <v>516</v>
      </c>
      <c r="O5" t="s">
        <v>512</v>
      </c>
      <c r="P5" t="s">
        <v>517</v>
      </c>
      <c r="Q5" t="s">
        <v>518</v>
      </c>
      <c r="R5" t="s">
        <v>519</v>
      </c>
    </row>
    <row r="6" spans="1:18" ht="14.45" x14ac:dyDescent="0.3">
      <c r="A6" t="s">
        <v>526</v>
      </c>
      <c r="B6" t="s">
        <v>285</v>
      </c>
      <c r="C6" t="s">
        <v>512</v>
      </c>
      <c r="D6" t="s">
        <v>512</v>
      </c>
      <c r="E6" t="s">
        <v>512</v>
      </c>
      <c r="F6" t="s">
        <v>513</v>
      </c>
      <c r="G6" t="s">
        <v>527</v>
      </c>
      <c r="H6" t="s">
        <v>515</v>
      </c>
      <c r="I6" t="s">
        <v>512</v>
      </c>
      <c r="J6" t="s">
        <v>512</v>
      </c>
      <c r="K6" t="s">
        <v>512</v>
      </c>
      <c r="L6" t="s">
        <v>512</v>
      </c>
      <c r="M6" t="s">
        <v>512</v>
      </c>
      <c r="N6" t="s">
        <v>516</v>
      </c>
      <c r="O6" t="s">
        <v>512</v>
      </c>
      <c r="P6" t="s">
        <v>517</v>
      </c>
      <c r="Q6" t="s">
        <v>518</v>
      </c>
      <c r="R6" t="s">
        <v>519</v>
      </c>
    </row>
    <row r="7" spans="1:18" ht="14.45" x14ac:dyDescent="0.3">
      <c r="A7" t="s">
        <v>528</v>
      </c>
      <c r="B7" t="s">
        <v>323</v>
      </c>
      <c r="C7" t="s">
        <v>512</v>
      </c>
      <c r="D7" t="s">
        <v>512</v>
      </c>
      <c r="E7" t="s">
        <v>512</v>
      </c>
      <c r="F7" t="s">
        <v>513</v>
      </c>
      <c r="G7" t="s">
        <v>529</v>
      </c>
      <c r="H7" t="s">
        <v>515</v>
      </c>
      <c r="I7" t="s">
        <v>512</v>
      </c>
      <c r="J7" t="s">
        <v>512</v>
      </c>
      <c r="K7" t="s">
        <v>512</v>
      </c>
      <c r="L7" t="s">
        <v>512</v>
      </c>
      <c r="M7" t="s">
        <v>512</v>
      </c>
      <c r="N7" t="s">
        <v>516</v>
      </c>
      <c r="O7" t="s">
        <v>512</v>
      </c>
      <c r="P7" t="s">
        <v>517</v>
      </c>
      <c r="Q7" t="s">
        <v>518</v>
      </c>
      <c r="R7" t="s">
        <v>519</v>
      </c>
    </row>
    <row r="8" spans="1:18" ht="14.45" x14ac:dyDescent="0.3">
      <c r="A8" t="s">
        <v>530</v>
      </c>
      <c r="B8" t="s">
        <v>324</v>
      </c>
      <c r="C8" t="s">
        <v>512</v>
      </c>
      <c r="D8" t="s">
        <v>512</v>
      </c>
      <c r="E8" t="s">
        <v>512</v>
      </c>
      <c r="F8" t="s">
        <v>513</v>
      </c>
      <c r="G8" t="s">
        <v>531</v>
      </c>
      <c r="H8" t="s">
        <v>515</v>
      </c>
      <c r="I8" t="s">
        <v>512</v>
      </c>
      <c r="J8" t="s">
        <v>512</v>
      </c>
      <c r="K8" t="s">
        <v>512</v>
      </c>
      <c r="L8" t="s">
        <v>512</v>
      </c>
      <c r="M8" t="s">
        <v>512</v>
      </c>
      <c r="N8" t="s">
        <v>516</v>
      </c>
      <c r="O8" t="s">
        <v>512</v>
      </c>
      <c r="P8" t="s">
        <v>517</v>
      </c>
      <c r="Q8" t="s">
        <v>518</v>
      </c>
      <c r="R8" t="s">
        <v>519</v>
      </c>
    </row>
    <row r="9" spans="1:18" ht="14.45" x14ac:dyDescent="0.3">
      <c r="A9" t="s">
        <v>532</v>
      </c>
      <c r="B9" t="s">
        <v>325</v>
      </c>
      <c r="C9" t="s">
        <v>512</v>
      </c>
      <c r="D9" t="s">
        <v>512</v>
      </c>
      <c r="E9" t="s">
        <v>512</v>
      </c>
      <c r="F9" t="s">
        <v>513</v>
      </c>
      <c r="G9" t="s">
        <v>533</v>
      </c>
      <c r="H9" t="s">
        <v>515</v>
      </c>
      <c r="I9" t="s">
        <v>512</v>
      </c>
      <c r="J9" t="s">
        <v>512</v>
      </c>
      <c r="K9" t="s">
        <v>512</v>
      </c>
      <c r="L9" t="s">
        <v>512</v>
      </c>
      <c r="M9" t="s">
        <v>512</v>
      </c>
      <c r="N9" t="s">
        <v>516</v>
      </c>
      <c r="O9" t="s">
        <v>512</v>
      </c>
      <c r="P9" t="s">
        <v>517</v>
      </c>
      <c r="Q9" t="s">
        <v>518</v>
      </c>
      <c r="R9" t="s">
        <v>519</v>
      </c>
    </row>
    <row r="10" spans="1:18" ht="14.45" x14ac:dyDescent="0.3">
      <c r="A10" t="s">
        <v>534</v>
      </c>
      <c r="B10" t="s">
        <v>286</v>
      </c>
      <c r="C10" t="s">
        <v>512</v>
      </c>
      <c r="D10" t="s">
        <v>512</v>
      </c>
      <c r="E10" t="s">
        <v>512</v>
      </c>
      <c r="F10" t="s">
        <v>513</v>
      </c>
      <c r="G10" t="s">
        <v>535</v>
      </c>
      <c r="H10" t="s">
        <v>515</v>
      </c>
      <c r="I10" t="s">
        <v>512</v>
      </c>
      <c r="J10" t="s">
        <v>512</v>
      </c>
      <c r="K10" t="s">
        <v>512</v>
      </c>
      <c r="L10" t="s">
        <v>512</v>
      </c>
      <c r="M10" t="s">
        <v>512</v>
      </c>
      <c r="N10" t="s">
        <v>516</v>
      </c>
      <c r="O10" t="s">
        <v>512</v>
      </c>
      <c r="P10" t="s">
        <v>517</v>
      </c>
      <c r="Q10" t="s">
        <v>518</v>
      </c>
      <c r="R10" t="s">
        <v>519</v>
      </c>
    </row>
    <row r="11" spans="1:18" ht="14.45" x14ac:dyDescent="0.3">
      <c r="A11" t="s">
        <v>536</v>
      </c>
      <c r="B11" t="s">
        <v>287</v>
      </c>
      <c r="C11" t="s">
        <v>512</v>
      </c>
      <c r="D11" t="s">
        <v>512</v>
      </c>
      <c r="E11" t="s">
        <v>512</v>
      </c>
      <c r="F11" t="s">
        <v>513</v>
      </c>
      <c r="G11" t="s">
        <v>537</v>
      </c>
      <c r="H11" t="s">
        <v>515</v>
      </c>
      <c r="I11" t="s">
        <v>512</v>
      </c>
      <c r="J11" t="s">
        <v>512</v>
      </c>
      <c r="K11" t="s">
        <v>512</v>
      </c>
      <c r="L11" t="s">
        <v>512</v>
      </c>
      <c r="M11" t="s">
        <v>512</v>
      </c>
      <c r="N11" t="s">
        <v>516</v>
      </c>
      <c r="O11" t="s">
        <v>512</v>
      </c>
      <c r="P11" t="s">
        <v>517</v>
      </c>
      <c r="Q11" t="s">
        <v>518</v>
      </c>
      <c r="R11" t="s">
        <v>519</v>
      </c>
    </row>
    <row r="12" spans="1:18" ht="14.45" x14ac:dyDescent="0.3">
      <c r="A12" t="s">
        <v>538</v>
      </c>
      <c r="B12" t="s">
        <v>348</v>
      </c>
      <c r="C12" t="s">
        <v>512</v>
      </c>
      <c r="D12" t="s">
        <v>512</v>
      </c>
      <c r="E12" t="s">
        <v>512</v>
      </c>
      <c r="F12" t="s">
        <v>513</v>
      </c>
      <c r="G12" t="s">
        <v>539</v>
      </c>
      <c r="H12" t="s">
        <v>515</v>
      </c>
      <c r="I12" t="s">
        <v>512</v>
      </c>
      <c r="J12" t="s">
        <v>512</v>
      </c>
      <c r="K12" t="s">
        <v>512</v>
      </c>
      <c r="L12" t="s">
        <v>512</v>
      </c>
      <c r="M12" t="s">
        <v>512</v>
      </c>
      <c r="N12" t="s">
        <v>516</v>
      </c>
      <c r="O12" t="s">
        <v>512</v>
      </c>
      <c r="P12" t="s">
        <v>517</v>
      </c>
      <c r="Q12" t="s">
        <v>518</v>
      </c>
    </row>
    <row r="13" spans="1:18" ht="14.45" x14ac:dyDescent="0.3">
      <c r="A13" t="s">
        <v>540</v>
      </c>
      <c r="B13" t="s">
        <v>288</v>
      </c>
      <c r="C13" t="s">
        <v>512</v>
      </c>
      <c r="D13" t="s">
        <v>512</v>
      </c>
      <c r="E13" t="s">
        <v>512</v>
      </c>
      <c r="F13" t="s">
        <v>513</v>
      </c>
      <c r="G13" t="s">
        <v>541</v>
      </c>
      <c r="H13" t="s">
        <v>515</v>
      </c>
      <c r="I13" t="s">
        <v>512</v>
      </c>
      <c r="J13" t="s">
        <v>512</v>
      </c>
      <c r="K13" t="s">
        <v>512</v>
      </c>
      <c r="L13" t="s">
        <v>512</v>
      </c>
      <c r="M13" t="s">
        <v>512</v>
      </c>
      <c r="N13" t="s">
        <v>516</v>
      </c>
      <c r="O13" t="s">
        <v>512</v>
      </c>
      <c r="P13" t="s">
        <v>517</v>
      </c>
      <c r="Q13" t="s">
        <v>518</v>
      </c>
    </row>
    <row r="14" spans="1:18" ht="14.45" x14ac:dyDescent="0.3">
      <c r="A14" t="s">
        <v>542</v>
      </c>
      <c r="B14" t="s">
        <v>289</v>
      </c>
      <c r="C14" t="s">
        <v>512</v>
      </c>
      <c r="D14" t="s">
        <v>512</v>
      </c>
      <c r="E14" t="s">
        <v>512</v>
      </c>
      <c r="F14" t="s">
        <v>513</v>
      </c>
      <c r="G14" t="s">
        <v>543</v>
      </c>
      <c r="H14" t="s">
        <v>515</v>
      </c>
      <c r="I14" t="s">
        <v>512</v>
      </c>
      <c r="J14" t="s">
        <v>512</v>
      </c>
      <c r="K14" t="s">
        <v>512</v>
      </c>
      <c r="L14" t="s">
        <v>512</v>
      </c>
      <c r="M14" t="s">
        <v>512</v>
      </c>
      <c r="N14" t="s">
        <v>516</v>
      </c>
      <c r="O14" t="s">
        <v>512</v>
      </c>
      <c r="P14" t="s">
        <v>517</v>
      </c>
      <c r="Q14" t="s">
        <v>518</v>
      </c>
    </row>
    <row r="15" spans="1:18" ht="14.45" x14ac:dyDescent="0.3">
      <c r="A15" t="s">
        <v>544</v>
      </c>
      <c r="B15" t="s">
        <v>153</v>
      </c>
      <c r="C15" t="s">
        <v>512</v>
      </c>
      <c r="D15" t="s">
        <v>512</v>
      </c>
      <c r="E15" t="s">
        <v>512</v>
      </c>
      <c r="F15" t="s">
        <v>513</v>
      </c>
      <c r="G15" t="s">
        <v>545</v>
      </c>
      <c r="H15" t="s">
        <v>515</v>
      </c>
      <c r="I15" t="s">
        <v>512</v>
      </c>
      <c r="J15" t="s">
        <v>512</v>
      </c>
      <c r="K15" t="s">
        <v>512</v>
      </c>
      <c r="L15" t="s">
        <v>512</v>
      </c>
      <c r="M15" t="s">
        <v>512</v>
      </c>
      <c r="N15" t="s">
        <v>516</v>
      </c>
      <c r="O15" t="s">
        <v>512</v>
      </c>
      <c r="P15" t="s">
        <v>517</v>
      </c>
      <c r="Q15" t="s">
        <v>518</v>
      </c>
      <c r="R15" t="s">
        <v>519</v>
      </c>
    </row>
    <row r="16" spans="1:18" ht="14.45" x14ac:dyDescent="0.3">
      <c r="A16" t="s">
        <v>546</v>
      </c>
      <c r="B16" t="s">
        <v>290</v>
      </c>
      <c r="C16" t="s">
        <v>512</v>
      </c>
      <c r="D16" t="s">
        <v>512</v>
      </c>
      <c r="E16" t="s">
        <v>512</v>
      </c>
      <c r="F16" t="s">
        <v>513</v>
      </c>
      <c r="G16" t="s">
        <v>547</v>
      </c>
      <c r="H16" t="s">
        <v>515</v>
      </c>
      <c r="I16" t="s">
        <v>512</v>
      </c>
      <c r="J16" t="s">
        <v>512</v>
      </c>
      <c r="K16" t="s">
        <v>512</v>
      </c>
      <c r="L16" t="s">
        <v>512</v>
      </c>
      <c r="M16" t="s">
        <v>512</v>
      </c>
      <c r="N16" t="s">
        <v>516</v>
      </c>
      <c r="O16" t="s">
        <v>512</v>
      </c>
      <c r="P16" t="s">
        <v>517</v>
      </c>
      <c r="Q16" t="s">
        <v>518</v>
      </c>
    </row>
    <row r="17" spans="1:18" ht="14.45" x14ac:dyDescent="0.3">
      <c r="A17" t="s">
        <v>548</v>
      </c>
      <c r="B17" t="s">
        <v>291</v>
      </c>
      <c r="C17" t="s">
        <v>512</v>
      </c>
      <c r="D17" t="s">
        <v>512</v>
      </c>
      <c r="E17" t="s">
        <v>512</v>
      </c>
      <c r="F17" t="s">
        <v>513</v>
      </c>
      <c r="G17" t="s">
        <v>549</v>
      </c>
      <c r="H17" t="s">
        <v>515</v>
      </c>
      <c r="I17" t="s">
        <v>512</v>
      </c>
      <c r="J17" t="s">
        <v>512</v>
      </c>
      <c r="L17" t="s">
        <v>512</v>
      </c>
      <c r="M17" t="s">
        <v>512</v>
      </c>
      <c r="N17" t="s">
        <v>516</v>
      </c>
      <c r="O17" t="s">
        <v>512</v>
      </c>
      <c r="P17" t="s">
        <v>517</v>
      </c>
      <c r="Q17" t="s">
        <v>518</v>
      </c>
    </row>
    <row r="18" spans="1:18" ht="14.45" x14ac:dyDescent="0.3">
      <c r="A18" t="s">
        <v>550</v>
      </c>
      <c r="B18" t="s">
        <v>313</v>
      </c>
      <c r="C18" t="s">
        <v>512</v>
      </c>
      <c r="D18" t="s">
        <v>512</v>
      </c>
      <c r="E18" t="s">
        <v>512</v>
      </c>
      <c r="F18" t="s">
        <v>513</v>
      </c>
      <c r="G18" t="s">
        <v>551</v>
      </c>
      <c r="H18" t="s">
        <v>515</v>
      </c>
      <c r="I18" t="s">
        <v>512</v>
      </c>
      <c r="J18" t="s">
        <v>512</v>
      </c>
      <c r="L18" t="s">
        <v>512</v>
      </c>
      <c r="M18" t="s">
        <v>512</v>
      </c>
      <c r="N18" t="s">
        <v>516</v>
      </c>
      <c r="O18" t="s">
        <v>512</v>
      </c>
      <c r="P18" t="s">
        <v>517</v>
      </c>
      <c r="Q18" t="s">
        <v>518</v>
      </c>
      <c r="R18" t="s">
        <v>519</v>
      </c>
    </row>
    <row r="19" spans="1:18" ht="14.45" x14ac:dyDescent="0.3">
      <c r="A19" t="s">
        <v>552</v>
      </c>
      <c r="B19" t="s">
        <v>311</v>
      </c>
      <c r="C19" t="s">
        <v>512</v>
      </c>
      <c r="D19" t="s">
        <v>512</v>
      </c>
      <c r="E19" t="s">
        <v>512</v>
      </c>
      <c r="F19" t="s">
        <v>513</v>
      </c>
      <c r="G19" t="s">
        <v>553</v>
      </c>
      <c r="H19" t="s">
        <v>515</v>
      </c>
      <c r="I19" t="s">
        <v>512</v>
      </c>
      <c r="J19" t="s">
        <v>512</v>
      </c>
      <c r="L19" t="s">
        <v>512</v>
      </c>
      <c r="M19" t="s">
        <v>512</v>
      </c>
      <c r="N19" t="s">
        <v>516</v>
      </c>
      <c r="O19" t="s">
        <v>512</v>
      </c>
      <c r="P19" t="s">
        <v>517</v>
      </c>
      <c r="Q19" t="s">
        <v>518</v>
      </c>
      <c r="R19" t="s">
        <v>519</v>
      </c>
    </row>
    <row r="20" spans="1:18" ht="14.45" x14ac:dyDescent="0.3">
      <c r="A20" t="s">
        <v>554</v>
      </c>
      <c r="B20" t="s">
        <v>312</v>
      </c>
      <c r="C20" t="s">
        <v>512</v>
      </c>
      <c r="D20" t="s">
        <v>512</v>
      </c>
      <c r="E20" t="s">
        <v>512</v>
      </c>
      <c r="F20" t="s">
        <v>513</v>
      </c>
      <c r="G20" t="s">
        <v>555</v>
      </c>
      <c r="H20" t="s">
        <v>515</v>
      </c>
      <c r="I20" t="s">
        <v>512</v>
      </c>
      <c r="J20" t="s">
        <v>512</v>
      </c>
      <c r="K20" t="s">
        <v>512</v>
      </c>
      <c r="L20" t="s">
        <v>512</v>
      </c>
      <c r="M20" t="s">
        <v>512</v>
      </c>
      <c r="N20" t="s">
        <v>516</v>
      </c>
      <c r="O20" t="s">
        <v>512</v>
      </c>
      <c r="P20" t="s">
        <v>517</v>
      </c>
      <c r="Q20" t="s">
        <v>518</v>
      </c>
      <c r="R20" t="s">
        <v>519</v>
      </c>
    </row>
    <row r="21" spans="1:18" ht="14.45" x14ac:dyDescent="0.3">
      <c r="A21" t="s">
        <v>556</v>
      </c>
      <c r="B21" t="s">
        <v>310</v>
      </c>
      <c r="C21" t="s">
        <v>512</v>
      </c>
      <c r="D21" t="s">
        <v>512</v>
      </c>
      <c r="E21" t="s">
        <v>512</v>
      </c>
      <c r="F21" t="s">
        <v>513</v>
      </c>
      <c r="G21" t="s">
        <v>557</v>
      </c>
      <c r="H21" t="s">
        <v>515</v>
      </c>
      <c r="I21" t="s">
        <v>512</v>
      </c>
      <c r="J21" t="s">
        <v>512</v>
      </c>
      <c r="K21" t="s">
        <v>512</v>
      </c>
      <c r="L21" t="s">
        <v>512</v>
      </c>
      <c r="M21" t="s">
        <v>512</v>
      </c>
      <c r="N21" t="s">
        <v>516</v>
      </c>
      <c r="O21" t="s">
        <v>512</v>
      </c>
      <c r="P21" t="s">
        <v>517</v>
      </c>
      <c r="Q21" t="s">
        <v>518</v>
      </c>
      <c r="R21" t="s">
        <v>519</v>
      </c>
    </row>
    <row r="22" spans="1:18" ht="14.45" x14ac:dyDescent="0.3">
      <c r="A22" t="s">
        <v>558</v>
      </c>
      <c r="B22" t="s">
        <v>297</v>
      </c>
      <c r="C22" t="s">
        <v>512</v>
      </c>
      <c r="D22" t="s">
        <v>512</v>
      </c>
      <c r="E22" t="s">
        <v>512</v>
      </c>
      <c r="F22" t="s">
        <v>513</v>
      </c>
      <c r="G22" t="s">
        <v>559</v>
      </c>
      <c r="H22" t="s">
        <v>515</v>
      </c>
      <c r="I22" t="s">
        <v>512</v>
      </c>
      <c r="J22" t="s">
        <v>512</v>
      </c>
      <c r="L22" t="s">
        <v>512</v>
      </c>
      <c r="M22" t="s">
        <v>512</v>
      </c>
      <c r="N22" t="s">
        <v>516</v>
      </c>
      <c r="O22" t="s">
        <v>512</v>
      </c>
      <c r="P22" t="s">
        <v>517</v>
      </c>
      <c r="Q22" t="s">
        <v>518</v>
      </c>
      <c r="R22" t="s">
        <v>519</v>
      </c>
    </row>
    <row r="23" spans="1:18" ht="14.45" x14ac:dyDescent="0.3">
      <c r="A23" t="s">
        <v>560</v>
      </c>
      <c r="B23" t="s">
        <v>298</v>
      </c>
      <c r="C23" t="s">
        <v>512</v>
      </c>
      <c r="D23" t="s">
        <v>512</v>
      </c>
      <c r="E23" t="s">
        <v>512</v>
      </c>
      <c r="F23" t="s">
        <v>513</v>
      </c>
      <c r="G23" t="s">
        <v>561</v>
      </c>
      <c r="H23" t="s">
        <v>515</v>
      </c>
      <c r="I23" t="s">
        <v>512</v>
      </c>
      <c r="J23" t="s">
        <v>512</v>
      </c>
      <c r="K23" t="s">
        <v>512</v>
      </c>
      <c r="L23" t="s">
        <v>512</v>
      </c>
      <c r="M23" t="s">
        <v>512</v>
      </c>
      <c r="N23" t="s">
        <v>516</v>
      </c>
      <c r="O23" t="s">
        <v>512</v>
      </c>
      <c r="P23" t="s">
        <v>517</v>
      </c>
      <c r="Q23" t="s">
        <v>518</v>
      </c>
      <c r="R23" t="s">
        <v>519</v>
      </c>
    </row>
    <row r="24" spans="1:18" ht="14.45" x14ac:dyDescent="0.3">
      <c r="A24" t="s">
        <v>562</v>
      </c>
      <c r="B24" t="s">
        <v>318</v>
      </c>
      <c r="C24" t="s">
        <v>512</v>
      </c>
      <c r="D24" t="s">
        <v>512</v>
      </c>
      <c r="E24" t="s">
        <v>512</v>
      </c>
      <c r="F24" t="s">
        <v>513</v>
      </c>
      <c r="G24" t="s">
        <v>563</v>
      </c>
      <c r="H24" t="s">
        <v>515</v>
      </c>
      <c r="I24" t="s">
        <v>512</v>
      </c>
      <c r="J24" t="s">
        <v>512</v>
      </c>
      <c r="K24" t="s">
        <v>512</v>
      </c>
      <c r="L24" t="s">
        <v>512</v>
      </c>
      <c r="M24" t="s">
        <v>512</v>
      </c>
      <c r="N24" t="s">
        <v>516</v>
      </c>
      <c r="O24" t="s">
        <v>512</v>
      </c>
      <c r="P24" t="s">
        <v>517</v>
      </c>
      <c r="Q24" t="s">
        <v>518</v>
      </c>
      <c r="R24" t="s">
        <v>519</v>
      </c>
    </row>
    <row r="25" spans="1:18" ht="14.45" x14ac:dyDescent="0.3">
      <c r="A25" t="s">
        <v>564</v>
      </c>
      <c r="B25" t="s">
        <v>300</v>
      </c>
      <c r="C25" t="s">
        <v>512</v>
      </c>
      <c r="D25" t="s">
        <v>512</v>
      </c>
      <c r="E25" t="s">
        <v>512</v>
      </c>
      <c r="F25" t="s">
        <v>513</v>
      </c>
      <c r="G25" t="s">
        <v>565</v>
      </c>
      <c r="H25" t="s">
        <v>515</v>
      </c>
      <c r="I25" t="s">
        <v>512</v>
      </c>
      <c r="J25" t="s">
        <v>512</v>
      </c>
      <c r="K25" t="s">
        <v>512</v>
      </c>
      <c r="L25" t="s">
        <v>512</v>
      </c>
      <c r="M25" t="s">
        <v>512</v>
      </c>
      <c r="N25" t="s">
        <v>516</v>
      </c>
      <c r="O25" t="s">
        <v>512</v>
      </c>
      <c r="P25" t="s">
        <v>517</v>
      </c>
      <c r="Q25" t="s">
        <v>518</v>
      </c>
    </row>
    <row r="26" spans="1:18" ht="14.45" x14ac:dyDescent="0.3">
      <c r="A26" t="s">
        <v>566</v>
      </c>
      <c r="B26" t="s">
        <v>156</v>
      </c>
      <c r="C26" t="s">
        <v>512</v>
      </c>
      <c r="D26" t="s">
        <v>512</v>
      </c>
      <c r="E26" t="s">
        <v>512</v>
      </c>
      <c r="F26" t="s">
        <v>513</v>
      </c>
      <c r="G26" t="s">
        <v>567</v>
      </c>
      <c r="H26" t="s">
        <v>515</v>
      </c>
      <c r="I26" t="s">
        <v>512</v>
      </c>
      <c r="J26" t="s">
        <v>512</v>
      </c>
      <c r="L26" t="s">
        <v>512</v>
      </c>
      <c r="M26" t="s">
        <v>512</v>
      </c>
      <c r="N26" t="s">
        <v>516</v>
      </c>
      <c r="O26" t="s">
        <v>512</v>
      </c>
      <c r="P26" t="s">
        <v>517</v>
      </c>
      <c r="Q26" t="s">
        <v>518</v>
      </c>
    </row>
    <row r="27" spans="1:18" ht="14.45" x14ac:dyDescent="0.3">
      <c r="A27" t="s">
        <v>568</v>
      </c>
      <c r="B27" t="s">
        <v>341</v>
      </c>
      <c r="C27" t="s">
        <v>512</v>
      </c>
      <c r="D27" t="s">
        <v>512</v>
      </c>
      <c r="E27" t="s">
        <v>512</v>
      </c>
      <c r="F27" t="s">
        <v>513</v>
      </c>
      <c r="G27" t="s">
        <v>569</v>
      </c>
      <c r="H27" t="s">
        <v>515</v>
      </c>
      <c r="I27" t="s">
        <v>512</v>
      </c>
      <c r="J27" t="s">
        <v>512</v>
      </c>
      <c r="K27" t="s">
        <v>512</v>
      </c>
      <c r="L27" t="s">
        <v>512</v>
      </c>
      <c r="M27" t="s">
        <v>512</v>
      </c>
      <c r="N27" t="s">
        <v>516</v>
      </c>
      <c r="O27" t="s">
        <v>512</v>
      </c>
      <c r="P27" t="s">
        <v>517</v>
      </c>
      <c r="Q27" t="s">
        <v>518</v>
      </c>
      <c r="R27" t="s">
        <v>519</v>
      </c>
    </row>
    <row r="28" spans="1:18" ht="14.45" x14ac:dyDescent="0.3">
      <c r="A28" t="s">
        <v>570</v>
      </c>
      <c r="B28" t="s">
        <v>340</v>
      </c>
      <c r="C28" t="s">
        <v>512</v>
      </c>
      <c r="D28" t="s">
        <v>512</v>
      </c>
      <c r="E28" t="s">
        <v>512</v>
      </c>
      <c r="F28" t="s">
        <v>513</v>
      </c>
      <c r="G28" t="s">
        <v>571</v>
      </c>
      <c r="H28" t="s">
        <v>515</v>
      </c>
      <c r="I28" t="s">
        <v>512</v>
      </c>
      <c r="J28" t="s">
        <v>512</v>
      </c>
      <c r="K28" t="s">
        <v>512</v>
      </c>
      <c r="L28" t="s">
        <v>512</v>
      </c>
      <c r="M28" t="s">
        <v>512</v>
      </c>
      <c r="N28" t="s">
        <v>516</v>
      </c>
      <c r="O28" t="s">
        <v>512</v>
      </c>
      <c r="P28" t="s">
        <v>517</v>
      </c>
      <c r="Q28" t="s">
        <v>518</v>
      </c>
    </row>
    <row r="29" spans="1:18" ht="14.45" x14ac:dyDescent="0.3">
      <c r="A29" t="s">
        <v>572</v>
      </c>
      <c r="B29" t="s">
        <v>339</v>
      </c>
      <c r="C29" t="s">
        <v>512</v>
      </c>
      <c r="D29" t="s">
        <v>512</v>
      </c>
      <c r="E29" t="s">
        <v>512</v>
      </c>
      <c r="F29" t="s">
        <v>513</v>
      </c>
      <c r="G29" t="s">
        <v>573</v>
      </c>
      <c r="H29" t="s">
        <v>515</v>
      </c>
      <c r="I29" t="s">
        <v>512</v>
      </c>
      <c r="J29" t="s">
        <v>512</v>
      </c>
      <c r="K29" t="s">
        <v>512</v>
      </c>
      <c r="L29" t="s">
        <v>512</v>
      </c>
      <c r="M29" t="s">
        <v>512</v>
      </c>
      <c r="N29" t="s">
        <v>516</v>
      </c>
      <c r="O29" t="s">
        <v>512</v>
      </c>
      <c r="P29" t="s">
        <v>517</v>
      </c>
      <c r="Q29" t="s">
        <v>518</v>
      </c>
      <c r="R29" t="s">
        <v>519</v>
      </c>
    </row>
    <row r="30" spans="1:18" x14ac:dyDescent="0.25">
      <c r="A30" t="s">
        <v>574</v>
      </c>
      <c r="B30" t="s">
        <v>337</v>
      </c>
      <c r="C30" t="s">
        <v>512</v>
      </c>
      <c r="D30" t="s">
        <v>512</v>
      </c>
      <c r="E30" t="s">
        <v>512</v>
      </c>
      <c r="F30" t="s">
        <v>513</v>
      </c>
      <c r="G30" t="s">
        <v>575</v>
      </c>
      <c r="H30" t="s">
        <v>515</v>
      </c>
      <c r="I30" t="s">
        <v>512</v>
      </c>
      <c r="J30" t="s">
        <v>512</v>
      </c>
      <c r="K30" t="s">
        <v>512</v>
      </c>
      <c r="L30" t="s">
        <v>512</v>
      </c>
      <c r="M30" t="s">
        <v>512</v>
      </c>
      <c r="N30" t="s">
        <v>516</v>
      </c>
      <c r="O30" t="s">
        <v>512</v>
      </c>
      <c r="P30" t="s">
        <v>517</v>
      </c>
      <c r="Q30" t="s">
        <v>518</v>
      </c>
    </row>
    <row r="31" spans="1:18" x14ac:dyDescent="0.25">
      <c r="A31" t="s">
        <v>576</v>
      </c>
      <c r="B31" t="s">
        <v>335</v>
      </c>
      <c r="C31" t="s">
        <v>512</v>
      </c>
      <c r="D31" t="s">
        <v>512</v>
      </c>
      <c r="E31" t="s">
        <v>512</v>
      </c>
      <c r="F31" t="s">
        <v>513</v>
      </c>
      <c r="G31" t="s">
        <v>577</v>
      </c>
      <c r="H31" t="s">
        <v>515</v>
      </c>
      <c r="I31" t="s">
        <v>512</v>
      </c>
      <c r="J31" t="s">
        <v>512</v>
      </c>
      <c r="K31" t="s">
        <v>512</v>
      </c>
      <c r="L31" t="s">
        <v>512</v>
      </c>
      <c r="M31" t="s">
        <v>512</v>
      </c>
      <c r="N31" t="s">
        <v>516</v>
      </c>
      <c r="O31" t="s">
        <v>512</v>
      </c>
      <c r="P31" t="s">
        <v>517</v>
      </c>
      <c r="Q31" t="s">
        <v>518</v>
      </c>
    </row>
    <row r="32" spans="1:18" x14ac:dyDescent="0.25">
      <c r="A32" t="s">
        <v>578</v>
      </c>
      <c r="B32" t="s">
        <v>292</v>
      </c>
      <c r="C32" t="s">
        <v>512</v>
      </c>
      <c r="D32" t="s">
        <v>512</v>
      </c>
      <c r="E32" t="s">
        <v>512</v>
      </c>
      <c r="F32" t="s">
        <v>513</v>
      </c>
      <c r="G32" t="s">
        <v>579</v>
      </c>
      <c r="H32" t="s">
        <v>515</v>
      </c>
      <c r="I32" t="s">
        <v>512</v>
      </c>
      <c r="J32" t="s">
        <v>512</v>
      </c>
      <c r="L32" t="s">
        <v>512</v>
      </c>
      <c r="M32" t="s">
        <v>512</v>
      </c>
      <c r="N32" t="s">
        <v>516</v>
      </c>
      <c r="O32" t="s">
        <v>512</v>
      </c>
      <c r="P32" t="s">
        <v>517</v>
      </c>
      <c r="Q32" t="s">
        <v>518</v>
      </c>
    </row>
    <row r="33" spans="1:18" x14ac:dyDescent="0.25">
      <c r="A33" t="s">
        <v>580</v>
      </c>
      <c r="B33" t="s">
        <v>293</v>
      </c>
      <c r="C33" t="s">
        <v>512</v>
      </c>
      <c r="D33" t="s">
        <v>512</v>
      </c>
      <c r="E33" t="s">
        <v>512</v>
      </c>
      <c r="F33" t="s">
        <v>513</v>
      </c>
      <c r="G33" t="s">
        <v>581</v>
      </c>
      <c r="H33" t="s">
        <v>515</v>
      </c>
      <c r="I33" t="s">
        <v>512</v>
      </c>
      <c r="J33" t="s">
        <v>512</v>
      </c>
      <c r="L33" t="s">
        <v>512</v>
      </c>
      <c r="M33" t="s">
        <v>512</v>
      </c>
      <c r="N33" t="s">
        <v>516</v>
      </c>
      <c r="O33" t="s">
        <v>512</v>
      </c>
      <c r="P33" t="s">
        <v>517</v>
      </c>
      <c r="Q33" t="s">
        <v>518</v>
      </c>
    </row>
    <row r="34" spans="1:18" x14ac:dyDescent="0.25">
      <c r="A34" t="s">
        <v>582</v>
      </c>
      <c r="B34" t="s">
        <v>294</v>
      </c>
      <c r="C34" t="s">
        <v>512</v>
      </c>
      <c r="D34" t="s">
        <v>512</v>
      </c>
      <c r="E34" t="s">
        <v>512</v>
      </c>
      <c r="F34" t="s">
        <v>513</v>
      </c>
      <c r="G34" t="s">
        <v>583</v>
      </c>
      <c r="H34" t="s">
        <v>515</v>
      </c>
      <c r="I34" t="s">
        <v>512</v>
      </c>
      <c r="J34" t="s">
        <v>512</v>
      </c>
      <c r="K34" t="s">
        <v>512</v>
      </c>
      <c r="L34" t="s">
        <v>512</v>
      </c>
      <c r="M34" t="s">
        <v>512</v>
      </c>
      <c r="N34" t="s">
        <v>516</v>
      </c>
      <c r="O34" t="s">
        <v>512</v>
      </c>
      <c r="P34" t="s">
        <v>517</v>
      </c>
      <c r="Q34" t="s">
        <v>518</v>
      </c>
      <c r="R34" t="s">
        <v>519</v>
      </c>
    </row>
    <row r="35" spans="1:18" x14ac:dyDescent="0.25">
      <c r="A35" t="s">
        <v>584</v>
      </c>
      <c r="B35" t="s">
        <v>295</v>
      </c>
      <c r="C35" t="s">
        <v>512</v>
      </c>
      <c r="D35" t="s">
        <v>512</v>
      </c>
      <c r="E35" t="s">
        <v>512</v>
      </c>
      <c r="F35" t="s">
        <v>513</v>
      </c>
      <c r="G35" t="s">
        <v>585</v>
      </c>
      <c r="H35" t="s">
        <v>515</v>
      </c>
      <c r="I35" t="s">
        <v>512</v>
      </c>
      <c r="J35" t="s">
        <v>512</v>
      </c>
      <c r="L35" t="s">
        <v>512</v>
      </c>
      <c r="M35" t="s">
        <v>512</v>
      </c>
      <c r="N35" t="s">
        <v>516</v>
      </c>
      <c r="O35" t="s">
        <v>512</v>
      </c>
      <c r="P35" t="s">
        <v>517</v>
      </c>
      <c r="Q35" t="s">
        <v>518</v>
      </c>
    </row>
    <row r="36" spans="1:18" x14ac:dyDescent="0.25">
      <c r="A36" t="s">
        <v>586</v>
      </c>
      <c r="B36" t="s">
        <v>317</v>
      </c>
      <c r="C36" t="s">
        <v>512</v>
      </c>
      <c r="D36" t="s">
        <v>512</v>
      </c>
      <c r="E36" t="s">
        <v>512</v>
      </c>
      <c r="F36" t="s">
        <v>513</v>
      </c>
      <c r="G36" t="s">
        <v>587</v>
      </c>
      <c r="H36" t="s">
        <v>515</v>
      </c>
      <c r="I36" t="s">
        <v>512</v>
      </c>
      <c r="J36" t="s">
        <v>512</v>
      </c>
      <c r="L36" t="s">
        <v>512</v>
      </c>
      <c r="M36" t="s">
        <v>512</v>
      </c>
      <c r="N36" t="s">
        <v>516</v>
      </c>
      <c r="O36" t="s">
        <v>512</v>
      </c>
      <c r="P36" t="s">
        <v>517</v>
      </c>
      <c r="Q36" t="s">
        <v>518</v>
      </c>
    </row>
    <row r="37" spans="1:18" x14ac:dyDescent="0.25">
      <c r="A37" t="s">
        <v>588</v>
      </c>
      <c r="B37" t="s">
        <v>112</v>
      </c>
      <c r="C37" t="s">
        <v>512</v>
      </c>
      <c r="D37" t="s">
        <v>512</v>
      </c>
      <c r="E37" t="s">
        <v>512</v>
      </c>
      <c r="F37" t="s">
        <v>513</v>
      </c>
      <c r="G37" t="s">
        <v>589</v>
      </c>
      <c r="H37" t="s">
        <v>515</v>
      </c>
      <c r="I37" t="s">
        <v>512</v>
      </c>
      <c r="J37" t="s">
        <v>512</v>
      </c>
      <c r="M37" t="s">
        <v>512</v>
      </c>
      <c r="N37" t="s">
        <v>516</v>
      </c>
      <c r="O37" t="s">
        <v>512</v>
      </c>
      <c r="P37" t="s">
        <v>517</v>
      </c>
      <c r="Q37" t="s">
        <v>518</v>
      </c>
    </row>
    <row r="38" spans="1:18" x14ac:dyDescent="0.25">
      <c r="A38" t="s">
        <v>590</v>
      </c>
      <c r="B38" t="s">
        <v>316</v>
      </c>
      <c r="C38" t="s">
        <v>512</v>
      </c>
      <c r="D38" t="s">
        <v>512</v>
      </c>
      <c r="E38" t="s">
        <v>512</v>
      </c>
      <c r="F38" t="s">
        <v>513</v>
      </c>
      <c r="G38" t="s">
        <v>591</v>
      </c>
      <c r="H38" t="s">
        <v>515</v>
      </c>
      <c r="I38" t="s">
        <v>512</v>
      </c>
      <c r="J38" t="s">
        <v>512</v>
      </c>
      <c r="K38" t="s">
        <v>512</v>
      </c>
      <c r="L38" t="s">
        <v>512</v>
      </c>
      <c r="M38" t="s">
        <v>512</v>
      </c>
      <c r="N38" t="s">
        <v>516</v>
      </c>
      <c r="O38" t="s">
        <v>512</v>
      </c>
      <c r="P38" t="s">
        <v>517</v>
      </c>
      <c r="Q38" t="s">
        <v>518</v>
      </c>
      <c r="R38" t="s">
        <v>519</v>
      </c>
    </row>
    <row r="39" spans="1:18" x14ac:dyDescent="0.25">
      <c r="A39" t="s">
        <v>592</v>
      </c>
      <c r="B39" t="s">
        <v>314</v>
      </c>
      <c r="C39" t="s">
        <v>512</v>
      </c>
      <c r="D39" t="s">
        <v>512</v>
      </c>
      <c r="E39" t="s">
        <v>512</v>
      </c>
      <c r="F39" t="s">
        <v>513</v>
      </c>
      <c r="G39" t="s">
        <v>593</v>
      </c>
      <c r="H39" t="s">
        <v>515</v>
      </c>
      <c r="I39" t="s">
        <v>512</v>
      </c>
      <c r="J39" t="s">
        <v>512</v>
      </c>
      <c r="K39" t="s">
        <v>512</v>
      </c>
      <c r="L39" t="s">
        <v>512</v>
      </c>
      <c r="M39" t="s">
        <v>512</v>
      </c>
      <c r="N39" t="s">
        <v>516</v>
      </c>
      <c r="O39" t="s">
        <v>512</v>
      </c>
      <c r="P39" t="s">
        <v>517</v>
      </c>
      <c r="Q39" t="s">
        <v>518</v>
      </c>
      <c r="R39" t="s">
        <v>519</v>
      </c>
    </row>
    <row r="40" spans="1:18" x14ac:dyDescent="0.25">
      <c r="A40" t="s">
        <v>594</v>
      </c>
      <c r="B40" t="s">
        <v>315</v>
      </c>
      <c r="C40" t="s">
        <v>512</v>
      </c>
      <c r="D40" t="s">
        <v>512</v>
      </c>
      <c r="E40" t="s">
        <v>512</v>
      </c>
      <c r="F40" t="s">
        <v>513</v>
      </c>
      <c r="G40" t="s">
        <v>595</v>
      </c>
      <c r="H40" t="s">
        <v>515</v>
      </c>
      <c r="I40" t="s">
        <v>512</v>
      </c>
      <c r="J40" t="s">
        <v>512</v>
      </c>
      <c r="K40" t="s">
        <v>512</v>
      </c>
      <c r="L40" t="s">
        <v>512</v>
      </c>
      <c r="M40" t="s">
        <v>512</v>
      </c>
      <c r="N40" t="s">
        <v>516</v>
      </c>
      <c r="O40" t="s">
        <v>512</v>
      </c>
      <c r="P40" t="s">
        <v>517</v>
      </c>
      <c r="Q40" t="s">
        <v>518</v>
      </c>
    </row>
    <row r="41" spans="1:18" x14ac:dyDescent="0.25">
      <c r="A41" t="s">
        <v>596</v>
      </c>
      <c r="B41" t="s">
        <v>342</v>
      </c>
      <c r="C41" t="s">
        <v>512</v>
      </c>
      <c r="D41" t="s">
        <v>512</v>
      </c>
      <c r="E41" t="s">
        <v>512</v>
      </c>
      <c r="F41" t="s">
        <v>513</v>
      </c>
      <c r="G41" t="s">
        <v>597</v>
      </c>
      <c r="H41" t="s">
        <v>515</v>
      </c>
      <c r="I41" t="s">
        <v>512</v>
      </c>
      <c r="J41" t="s">
        <v>512</v>
      </c>
      <c r="L41" t="s">
        <v>512</v>
      </c>
      <c r="M41" t="s">
        <v>512</v>
      </c>
      <c r="N41" t="s">
        <v>516</v>
      </c>
      <c r="O41" t="s">
        <v>512</v>
      </c>
      <c r="P41" t="s">
        <v>517</v>
      </c>
      <c r="Q41" t="s">
        <v>518</v>
      </c>
    </row>
    <row r="42" spans="1:18" x14ac:dyDescent="0.25">
      <c r="A42" t="s">
        <v>598</v>
      </c>
      <c r="B42" t="s">
        <v>301</v>
      </c>
      <c r="C42" t="s">
        <v>512</v>
      </c>
      <c r="D42" t="s">
        <v>512</v>
      </c>
      <c r="E42" t="s">
        <v>512</v>
      </c>
      <c r="F42" t="s">
        <v>513</v>
      </c>
      <c r="G42" t="s">
        <v>599</v>
      </c>
      <c r="H42" t="s">
        <v>515</v>
      </c>
      <c r="I42" t="s">
        <v>512</v>
      </c>
      <c r="J42" t="s">
        <v>512</v>
      </c>
      <c r="L42" t="s">
        <v>512</v>
      </c>
      <c r="M42" t="s">
        <v>512</v>
      </c>
      <c r="N42" t="s">
        <v>516</v>
      </c>
      <c r="O42" t="s">
        <v>512</v>
      </c>
      <c r="P42" t="s">
        <v>517</v>
      </c>
      <c r="Q42" t="s">
        <v>518</v>
      </c>
    </row>
    <row r="43" spans="1:18" x14ac:dyDescent="0.25">
      <c r="A43" t="s">
        <v>600</v>
      </c>
      <c r="B43" t="s">
        <v>108</v>
      </c>
      <c r="C43" t="s">
        <v>512</v>
      </c>
      <c r="D43" t="s">
        <v>512</v>
      </c>
      <c r="E43" t="s">
        <v>512</v>
      </c>
      <c r="F43" t="s">
        <v>513</v>
      </c>
      <c r="G43" t="s">
        <v>601</v>
      </c>
      <c r="H43" t="s">
        <v>515</v>
      </c>
      <c r="I43" t="s">
        <v>512</v>
      </c>
      <c r="J43" t="s">
        <v>512</v>
      </c>
      <c r="M43" t="s">
        <v>512</v>
      </c>
      <c r="N43" t="s">
        <v>516</v>
      </c>
      <c r="O43" t="s">
        <v>512</v>
      </c>
      <c r="P43" t="s">
        <v>517</v>
      </c>
      <c r="Q43" t="s">
        <v>518</v>
      </c>
    </row>
    <row r="44" spans="1:18" x14ac:dyDescent="0.25">
      <c r="A44" t="s">
        <v>602</v>
      </c>
      <c r="B44" t="s">
        <v>150</v>
      </c>
      <c r="C44" t="s">
        <v>512</v>
      </c>
      <c r="D44" t="s">
        <v>512</v>
      </c>
      <c r="E44" t="s">
        <v>512</v>
      </c>
      <c r="F44" t="s">
        <v>513</v>
      </c>
      <c r="G44" t="s">
        <v>603</v>
      </c>
      <c r="H44" t="s">
        <v>515</v>
      </c>
      <c r="I44" t="s">
        <v>512</v>
      </c>
      <c r="J44" t="s">
        <v>512</v>
      </c>
      <c r="L44" t="s">
        <v>512</v>
      </c>
      <c r="M44" t="s">
        <v>512</v>
      </c>
      <c r="N44" t="s">
        <v>516</v>
      </c>
      <c r="O44" t="s">
        <v>512</v>
      </c>
      <c r="P44" t="s">
        <v>517</v>
      </c>
      <c r="Q44" t="s">
        <v>518</v>
      </c>
    </row>
    <row r="45" spans="1:18" x14ac:dyDescent="0.25">
      <c r="A45" t="s">
        <v>604</v>
      </c>
      <c r="B45" t="s">
        <v>304</v>
      </c>
      <c r="C45" t="s">
        <v>512</v>
      </c>
      <c r="D45" t="s">
        <v>512</v>
      </c>
      <c r="E45" t="s">
        <v>512</v>
      </c>
      <c r="F45" t="s">
        <v>513</v>
      </c>
      <c r="G45" t="s">
        <v>605</v>
      </c>
      <c r="H45" t="s">
        <v>515</v>
      </c>
      <c r="I45" t="s">
        <v>512</v>
      </c>
      <c r="J45" t="s">
        <v>512</v>
      </c>
      <c r="K45" t="s">
        <v>512</v>
      </c>
      <c r="L45" t="s">
        <v>512</v>
      </c>
      <c r="M45" t="s">
        <v>512</v>
      </c>
      <c r="N45" t="s">
        <v>516</v>
      </c>
      <c r="O45" t="s">
        <v>512</v>
      </c>
      <c r="P45" t="s">
        <v>517</v>
      </c>
      <c r="Q45" t="s">
        <v>518</v>
      </c>
    </row>
    <row r="46" spans="1:18" x14ac:dyDescent="0.25">
      <c r="A46" t="s">
        <v>606</v>
      </c>
      <c r="B46" t="s">
        <v>305</v>
      </c>
      <c r="C46" t="s">
        <v>512</v>
      </c>
      <c r="D46" t="s">
        <v>512</v>
      </c>
      <c r="E46" t="s">
        <v>512</v>
      </c>
      <c r="F46" t="s">
        <v>513</v>
      </c>
      <c r="G46" t="s">
        <v>607</v>
      </c>
      <c r="H46" t="s">
        <v>515</v>
      </c>
      <c r="I46" t="s">
        <v>512</v>
      </c>
      <c r="J46" t="s">
        <v>512</v>
      </c>
      <c r="K46" t="s">
        <v>512</v>
      </c>
      <c r="L46" t="s">
        <v>512</v>
      </c>
      <c r="M46" t="s">
        <v>512</v>
      </c>
      <c r="N46" t="s">
        <v>516</v>
      </c>
      <c r="O46" t="s">
        <v>512</v>
      </c>
      <c r="P46" t="s">
        <v>517</v>
      </c>
      <c r="Q46" t="s">
        <v>518</v>
      </c>
    </row>
    <row r="47" spans="1:18" x14ac:dyDescent="0.25">
      <c r="A47" t="s">
        <v>608</v>
      </c>
      <c r="B47" t="s">
        <v>306</v>
      </c>
      <c r="C47" t="s">
        <v>512</v>
      </c>
      <c r="D47" t="s">
        <v>512</v>
      </c>
      <c r="E47" t="s">
        <v>512</v>
      </c>
      <c r="F47" t="s">
        <v>513</v>
      </c>
      <c r="G47" t="s">
        <v>609</v>
      </c>
      <c r="H47" t="s">
        <v>515</v>
      </c>
      <c r="I47" t="s">
        <v>512</v>
      </c>
      <c r="J47" t="s">
        <v>512</v>
      </c>
      <c r="K47" t="s">
        <v>512</v>
      </c>
      <c r="L47" t="s">
        <v>512</v>
      </c>
      <c r="M47" t="s">
        <v>512</v>
      </c>
      <c r="N47" t="s">
        <v>516</v>
      </c>
      <c r="O47" t="s">
        <v>512</v>
      </c>
      <c r="P47" t="s">
        <v>517</v>
      </c>
      <c r="Q47" t="s">
        <v>518</v>
      </c>
    </row>
    <row r="48" spans="1:18" x14ac:dyDescent="0.25">
      <c r="A48" t="s">
        <v>610</v>
      </c>
      <c r="B48" t="s">
        <v>307</v>
      </c>
      <c r="C48" t="s">
        <v>512</v>
      </c>
      <c r="D48" t="s">
        <v>512</v>
      </c>
      <c r="E48" t="s">
        <v>512</v>
      </c>
      <c r="F48" t="s">
        <v>513</v>
      </c>
      <c r="G48" t="s">
        <v>611</v>
      </c>
      <c r="H48" t="s">
        <v>515</v>
      </c>
      <c r="I48" t="s">
        <v>512</v>
      </c>
      <c r="J48" t="s">
        <v>512</v>
      </c>
      <c r="K48" t="s">
        <v>512</v>
      </c>
      <c r="L48" t="s">
        <v>512</v>
      </c>
      <c r="M48" t="s">
        <v>512</v>
      </c>
      <c r="N48" t="s">
        <v>516</v>
      </c>
      <c r="O48" t="s">
        <v>512</v>
      </c>
      <c r="P48" t="s">
        <v>517</v>
      </c>
      <c r="Q48" t="s">
        <v>518</v>
      </c>
    </row>
    <row r="49" spans="1:18" x14ac:dyDescent="0.25">
      <c r="A49" t="s">
        <v>612</v>
      </c>
      <c r="B49" t="s">
        <v>322</v>
      </c>
      <c r="C49" t="s">
        <v>512</v>
      </c>
      <c r="D49" t="s">
        <v>512</v>
      </c>
      <c r="E49" t="s">
        <v>512</v>
      </c>
      <c r="F49" t="s">
        <v>513</v>
      </c>
      <c r="G49" t="s">
        <v>613</v>
      </c>
      <c r="H49" t="s">
        <v>515</v>
      </c>
      <c r="I49" t="s">
        <v>512</v>
      </c>
      <c r="J49" t="s">
        <v>512</v>
      </c>
      <c r="K49" t="s">
        <v>512</v>
      </c>
      <c r="L49" t="s">
        <v>512</v>
      </c>
      <c r="M49" t="s">
        <v>512</v>
      </c>
      <c r="N49" t="s">
        <v>516</v>
      </c>
      <c r="O49" t="s">
        <v>512</v>
      </c>
      <c r="P49" t="s">
        <v>517</v>
      </c>
      <c r="Q49" t="s">
        <v>518</v>
      </c>
    </row>
    <row r="50" spans="1:18" x14ac:dyDescent="0.25">
      <c r="A50" t="s">
        <v>614</v>
      </c>
      <c r="B50" t="s">
        <v>308</v>
      </c>
      <c r="C50" t="s">
        <v>512</v>
      </c>
      <c r="D50" t="s">
        <v>512</v>
      </c>
      <c r="E50" t="s">
        <v>512</v>
      </c>
      <c r="F50" t="s">
        <v>513</v>
      </c>
      <c r="G50" t="s">
        <v>615</v>
      </c>
      <c r="H50" t="s">
        <v>515</v>
      </c>
      <c r="I50" t="s">
        <v>512</v>
      </c>
      <c r="J50" t="s">
        <v>512</v>
      </c>
      <c r="K50" t="s">
        <v>512</v>
      </c>
      <c r="L50" t="s">
        <v>512</v>
      </c>
      <c r="M50" t="s">
        <v>512</v>
      </c>
      <c r="N50" t="s">
        <v>516</v>
      </c>
      <c r="O50" t="s">
        <v>512</v>
      </c>
      <c r="P50" t="s">
        <v>517</v>
      </c>
      <c r="Q50" t="s">
        <v>518</v>
      </c>
    </row>
    <row r="51" spans="1:18" x14ac:dyDescent="0.25">
      <c r="A51" t="s">
        <v>616</v>
      </c>
      <c r="B51" t="s">
        <v>309</v>
      </c>
      <c r="C51" t="s">
        <v>512</v>
      </c>
      <c r="D51" t="s">
        <v>512</v>
      </c>
      <c r="E51" t="s">
        <v>512</v>
      </c>
      <c r="F51" t="s">
        <v>513</v>
      </c>
      <c r="G51" t="s">
        <v>617</v>
      </c>
      <c r="H51" t="s">
        <v>515</v>
      </c>
      <c r="I51" t="s">
        <v>512</v>
      </c>
      <c r="J51" t="s">
        <v>512</v>
      </c>
      <c r="K51" t="s">
        <v>512</v>
      </c>
      <c r="L51" t="s">
        <v>512</v>
      </c>
      <c r="M51" t="s">
        <v>512</v>
      </c>
      <c r="N51" t="s">
        <v>516</v>
      </c>
      <c r="O51" t="s">
        <v>512</v>
      </c>
      <c r="P51" t="s">
        <v>517</v>
      </c>
      <c r="Q51" t="s">
        <v>518</v>
      </c>
    </row>
    <row r="52" spans="1:18" x14ac:dyDescent="0.25">
      <c r="A52" t="s">
        <v>618</v>
      </c>
      <c r="B52" t="s">
        <v>336</v>
      </c>
      <c r="C52" t="s">
        <v>512</v>
      </c>
      <c r="D52" t="s">
        <v>512</v>
      </c>
      <c r="E52" t="s">
        <v>512</v>
      </c>
      <c r="F52" t="s">
        <v>513</v>
      </c>
      <c r="G52" t="s">
        <v>619</v>
      </c>
      <c r="H52" t="s">
        <v>515</v>
      </c>
      <c r="I52" t="s">
        <v>512</v>
      </c>
      <c r="J52" t="s">
        <v>512</v>
      </c>
      <c r="K52" t="s">
        <v>512</v>
      </c>
      <c r="L52" t="s">
        <v>512</v>
      </c>
      <c r="M52" t="s">
        <v>512</v>
      </c>
      <c r="N52" t="s">
        <v>516</v>
      </c>
      <c r="O52" t="s">
        <v>512</v>
      </c>
      <c r="P52" t="s">
        <v>517</v>
      </c>
      <c r="Q52" t="s">
        <v>518</v>
      </c>
      <c r="R52" t="s">
        <v>519</v>
      </c>
    </row>
    <row r="53" spans="1:18" x14ac:dyDescent="0.25">
      <c r="A53" t="s">
        <v>620</v>
      </c>
      <c r="B53" t="s">
        <v>343</v>
      </c>
      <c r="C53" t="s">
        <v>512</v>
      </c>
      <c r="D53" t="s">
        <v>512</v>
      </c>
      <c r="E53" t="s">
        <v>512</v>
      </c>
      <c r="F53" t="s">
        <v>513</v>
      </c>
      <c r="G53" t="s">
        <v>621</v>
      </c>
      <c r="H53" t="s">
        <v>515</v>
      </c>
      <c r="I53" t="s">
        <v>512</v>
      </c>
      <c r="J53" t="s">
        <v>512</v>
      </c>
      <c r="K53" t="s">
        <v>512</v>
      </c>
      <c r="L53" t="s">
        <v>512</v>
      </c>
      <c r="M53" t="s">
        <v>512</v>
      </c>
      <c r="N53" t="s">
        <v>516</v>
      </c>
      <c r="O53" t="s">
        <v>512</v>
      </c>
      <c r="P53" t="s">
        <v>517</v>
      </c>
      <c r="Q53" t="s">
        <v>518</v>
      </c>
      <c r="R53" t="s">
        <v>519</v>
      </c>
    </row>
    <row r="54" spans="1:18" x14ac:dyDescent="0.25">
      <c r="A54" t="s">
        <v>622</v>
      </c>
      <c r="B54" t="s">
        <v>344</v>
      </c>
      <c r="C54" t="s">
        <v>512</v>
      </c>
      <c r="D54" t="s">
        <v>512</v>
      </c>
      <c r="E54" t="s">
        <v>512</v>
      </c>
      <c r="F54" t="s">
        <v>513</v>
      </c>
      <c r="G54" t="s">
        <v>623</v>
      </c>
      <c r="H54" t="s">
        <v>515</v>
      </c>
      <c r="I54" t="s">
        <v>512</v>
      </c>
      <c r="J54" t="s">
        <v>512</v>
      </c>
      <c r="K54" t="s">
        <v>512</v>
      </c>
      <c r="L54" t="s">
        <v>512</v>
      </c>
      <c r="M54" t="s">
        <v>512</v>
      </c>
      <c r="N54" t="s">
        <v>516</v>
      </c>
      <c r="O54" t="s">
        <v>512</v>
      </c>
      <c r="P54" t="s">
        <v>517</v>
      </c>
      <c r="Q54" t="s">
        <v>518</v>
      </c>
      <c r="R54" t="s">
        <v>519</v>
      </c>
    </row>
    <row r="55" spans="1:18" x14ac:dyDescent="0.25">
      <c r="A55" t="s">
        <v>624</v>
      </c>
      <c r="B55" t="s">
        <v>278</v>
      </c>
      <c r="C55" t="s">
        <v>512</v>
      </c>
      <c r="D55" t="s">
        <v>512</v>
      </c>
      <c r="E55" t="s">
        <v>512</v>
      </c>
      <c r="F55" t="s">
        <v>513</v>
      </c>
      <c r="G55" t="s">
        <v>625</v>
      </c>
      <c r="H55" t="s">
        <v>515</v>
      </c>
      <c r="I55" t="s">
        <v>512</v>
      </c>
      <c r="J55" t="s">
        <v>512</v>
      </c>
      <c r="K55" t="s">
        <v>512</v>
      </c>
      <c r="L55" t="s">
        <v>512</v>
      </c>
      <c r="M55" t="s">
        <v>512</v>
      </c>
      <c r="N55" t="s">
        <v>516</v>
      </c>
      <c r="O55" t="s">
        <v>512</v>
      </c>
      <c r="P55" t="s">
        <v>517</v>
      </c>
      <c r="Q55" t="s">
        <v>518</v>
      </c>
      <c r="R55" t="s">
        <v>519</v>
      </c>
    </row>
    <row r="56" spans="1:18" x14ac:dyDescent="0.25">
      <c r="A56" t="s">
        <v>626</v>
      </c>
      <c r="B56" t="s">
        <v>338</v>
      </c>
      <c r="C56" t="s">
        <v>512</v>
      </c>
      <c r="D56" t="s">
        <v>512</v>
      </c>
      <c r="E56" t="s">
        <v>512</v>
      </c>
      <c r="F56" t="s">
        <v>513</v>
      </c>
      <c r="G56" t="s">
        <v>627</v>
      </c>
      <c r="H56" t="s">
        <v>515</v>
      </c>
      <c r="I56" t="s">
        <v>512</v>
      </c>
      <c r="J56" t="s">
        <v>512</v>
      </c>
      <c r="K56" t="s">
        <v>512</v>
      </c>
      <c r="L56" t="s">
        <v>512</v>
      </c>
      <c r="M56" t="s">
        <v>512</v>
      </c>
      <c r="N56" t="s">
        <v>516</v>
      </c>
      <c r="O56" t="s">
        <v>512</v>
      </c>
      <c r="P56" t="s">
        <v>517</v>
      </c>
      <c r="Q56" t="s">
        <v>518</v>
      </c>
      <c r="R56" t="s">
        <v>519</v>
      </c>
    </row>
    <row r="57" spans="1:18" x14ac:dyDescent="0.25">
      <c r="A57" t="s">
        <v>628</v>
      </c>
      <c r="B57" t="s">
        <v>345</v>
      </c>
      <c r="C57" t="s">
        <v>512</v>
      </c>
      <c r="D57" t="s">
        <v>512</v>
      </c>
      <c r="E57" t="s">
        <v>512</v>
      </c>
      <c r="F57" t="s">
        <v>513</v>
      </c>
      <c r="G57" t="s">
        <v>629</v>
      </c>
      <c r="H57" t="s">
        <v>515</v>
      </c>
      <c r="I57" t="s">
        <v>512</v>
      </c>
      <c r="J57" t="s">
        <v>512</v>
      </c>
      <c r="K57" t="s">
        <v>512</v>
      </c>
      <c r="L57" t="s">
        <v>512</v>
      </c>
      <c r="M57" t="s">
        <v>512</v>
      </c>
      <c r="N57" t="s">
        <v>516</v>
      </c>
      <c r="O57" t="s">
        <v>512</v>
      </c>
      <c r="P57" t="s">
        <v>517</v>
      </c>
      <c r="Q57" t="s">
        <v>518</v>
      </c>
      <c r="R57" t="s">
        <v>519</v>
      </c>
    </row>
    <row r="58" spans="1:18" x14ac:dyDescent="0.25">
      <c r="A58" t="s">
        <v>630</v>
      </c>
      <c r="B58" t="s">
        <v>346</v>
      </c>
      <c r="C58" t="s">
        <v>512</v>
      </c>
      <c r="D58" t="s">
        <v>512</v>
      </c>
      <c r="E58" t="s">
        <v>512</v>
      </c>
      <c r="F58" t="s">
        <v>513</v>
      </c>
      <c r="G58" t="s">
        <v>631</v>
      </c>
      <c r="H58" t="s">
        <v>515</v>
      </c>
      <c r="I58" t="s">
        <v>512</v>
      </c>
      <c r="J58" t="s">
        <v>512</v>
      </c>
      <c r="K58" t="s">
        <v>512</v>
      </c>
      <c r="L58" t="s">
        <v>512</v>
      </c>
      <c r="M58" t="s">
        <v>512</v>
      </c>
      <c r="N58" t="s">
        <v>516</v>
      </c>
      <c r="O58" t="s">
        <v>512</v>
      </c>
      <c r="P58" t="s">
        <v>517</v>
      </c>
      <c r="Q58" t="s">
        <v>518</v>
      </c>
      <c r="R58" t="s">
        <v>519</v>
      </c>
    </row>
    <row r="59" spans="1:18" x14ac:dyDescent="0.25">
      <c r="A59" t="s">
        <v>632</v>
      </c>
      <c r="B59" t="s">
        <v>303</v>
      </c>
      <c r="C59" t="s">
        <v>512</v>
      </c>
      <c r="D59" t="s">
        <v>512</v>
      </c>
      <c r="E59" t="s">
        <v>512</v>
      </c>
      <c r="F59" t="s">
        <v>513</v>
      </c>
      <c r="G59" t="s">
        <v>633</v>
      </c>
      <c r="H59" t="s">
        <v>515</v>
      </c>
      <c r="I59" t="s">
        <v>512</v>
      </c>
      <c r="J59" t="s">
        <v>512</v>
      </c>
      <c r="K59" t="s">
        <v>512</v>
      </c>
      <c r="L59" t="s">
        <v>512</v>
      </c>
      <c r="M59" t="s">
        <v>512</v>
      </c>
      <c r="N59" t="s">
        <v>516</v>
      </c>
      <c r="O59" t="s">
        <v>512</v>
      </c>
      <c r="P59" t="s">
        <v>517</v>
      </c>
      <c r="Q59" t="s">
        <v>518</v>
      </c>
      <c r="R59" t="s">
        <v>519</v>
      </c>
    </row>
    <row r="60" spans="1:18" x14ac:dyDescent="0.25">
      <c r="A60" t="s">
        <v>634</v>
      </c>
      <c r="B60" t="s">
        <v>299</v>
      </c>
      <c r="C60" t="s">
        <v>512</v>
      </c>
      <c r="D60" t="s">
        <v>512</v>
      </c>
      <c r="E60" t="s">
        <v>512</v>
      </c>
      <c r="F60" t="s">
        <v>513</v>
      </c>
      <c r="G60" t="s">
        <v>635</v>
      </c>
      <c r="H60" t="s">
        <v>515</v>
      </c>
      <c r="I60" t="s">
        <v>512</v>
      </c>
      <c r="J60" t="s">
        <v>512</v>
      </c>
      <c r="L60" t="s">
        <v>512</v>
      </c>
      <c r="M60" t="s">
        <v>512</v>
      </c>
      <c r="N60" t="s">
        <v>516</v>
      </c>
      <c r="O60" t="s">
        <v>512</v>
      </c>
      <c r="P60" t="s">
        <v>517</v>
      </c>
      <c r="Q60" t="s">
        <v>518</v>
      </c>
    </row>
    <row r="61" spans="1:18" x14ac:dyDescent="0.25">
      <c r="A61" t="s">
        <v>636</v>
      </c>
      <c r="B61" t="s">
        <v>275</v>
      </c>
      <c r="C61" t="s">
        <v>512</v>
      </c>
      <c r="D61" t="s">
        <v>512</v>
      </c>
      <c r="E61" t="s">
        <v>512</v>
      </c>
      <c r="F61" t="s">
        <v>513</v>
      </c>
      <c r="G61" t="s">
        <v>637</v>
      </c>
      <c r="H61" t="s">
        <v>515</v>
      </c>
      <c r="I61" t="s">
        <v>512</v>
      </c>
      <c r="J61" t="s">
        <v>512</v>
      </c>
      <c r="L61" t="s">
        <v>512</v>
      </c>
      <c r="M61" t="s">
        <v>512</v>
      </c>
      <c r="N61" t="s">
        <v>516</v>
      </c>
      <c r="O61" t="s">
        <v>512</v>
      </c>
      <c r="P61" t="s">
        <v>517</v>
      </c>
      <c r="Q61" t="s">
        <v>518</v>
      </c>
    </row>
    <row r="62" spans="1:18" x14ac:dyDescent="0.25">
      <c r="A62" t="s">
        <v>638</v>
      </c>
      <c r="B62" t="s">
        <v>276</v>
      </c>
      <c r="C62" t="s">
        <v>512</v>
      </c>
      <c r="D62" t="s">
        <v>512</v>
      </c>
      <c r="E62" t="s">
        <v>512</v>
      </c>
      <c r="F62" t="s">
        <v>513</v>
      </c>
      <c r="G62" t="s">
        <v>639</v>
      </c>
      <c r="H62" t="s">
        <v>515</v>
      </c>
      <c r="I62" t="s">
        <v>512</v>
      </c>
      <c r="J62" t="s">
        <v>512</v>
      </c>
      <c r="L62" t="s">
        <v>512</v>
      </c>
      <c r="M62" t="s">
        <v>512</v>
      </c>
      <c r="N62" t="s">
        <v>516</v>
      </c>
      <c r="O62" t="s">
        <v>512</v>
      </c>
      <c r="P62" t="s">
        <v>517</v>
      </c>
      <c r="Q62" t="s">
        <v>518</v>
      </c>
      <c r="R62" t="s">
        <v>519</v>
      </c>
    </row>
    <row r="63" spans="1:18" x14ac:dyDescent="0.25">
      <c r="A63" t="s">
        <v>640</v>
      </c>
      <c r="B63" t="s">
        <v>277</v>
      </c>
      <c r="C63" t="s">
        <v>512</v>
      </c>
      <c r="D63" t="s">
        <v>512</v>
      </c>
      <c r="E63" t="s">
        <v>512</v>
      </c>
      <c r="F63" t="s">
        <v>513</v>
      </c>
      <c r="G63" t="s">
        <v>641</v>
      </c>
      <c r="H63" t="s">
        <v>515</v>
      </c>
      <c r="I63" t="s">
        <v>512</v>
      </c>
      <c r="J63" t="s">
        <v>512</v>
      </c>
      <c r="L63" t="s">
        <v>512</v>
      </c>
      <c r="M63" t="s">
        <v>512</v>
      </c>
      <c r="N63" t="s">
        <v>516</v>
      </c>
      <c r="O63" t="s">
        <v>512</v>
      </c>
      <c r="P63" t="s">
        <v>517</v>
      </c>
      <c r="Q63" t="s">
        <v>518</v>
      </c>
      <c r="R63" t="s">
        <v>519</v>
      </c>
    </row>
    <row r="64" spans="1:18" x14ac:dyDescent="0.25">
      <c r="A64" t="s">
        <v>642</v>
      </c>
      <c r="B64" t="s">
        <v>319</v>
      </c>
      <c r="C64" t="s">
        <v>512</v>
      </c>
      <c r="D64" t="s">
        <v>512</v>
      </c>
      <c r="E64" t="s">
        <v>512</v>
      </c>
      <c r="F64" t="s">
        <v>513</v>
      </c>
      <c r="G64" t="s">
        <v>643</v>
      </c>
      <c r="H64" t="s">
        <v>515</v>
      </c>
      <c r="I64" t="s">
        <v>512</v>
      </c>
      <c r="J64" t="s">
        <v>512</v>
      </c>
      <c r="L64" t="s">
        <v>512</v>
      </c>
      <c r="M64" t="s">
        <v>512</v>
      </c>
      <c r="N64" t="s">
        <v>516</v>
      </c>
      <c r="O64" t="s">
        <v>512</v>
      </c>
      <c r="P64" t="s">
        <v>517</v>
      </c>
      <c r="Q64" t="s">
        <v>518</v>
      </c>
    </row>
    <row r="65" spans="1:18" x14ac:dyDescent="0.25">
      <c r="A65" t="s">
        <v>644</v>
      </c>
      <c r="B65" t="s">
        <v>279</v>
      </c>
      <c r="C65" t="s">
        <v>512</v>
      </c>
      <c r="D65" t="s">
        <v>512</v>
      </c>
      <c r="E65" t="s">
        <v>512</v>
      </c>
      <c r="F65" t="s">
        <v>513</v>
      </c>
      <c r="G65" t="s">
        <v>645</v>
      </c>
      <c r="H65" t="s">
        <v>515</v>
      </c>
      <c r="I65" t="s">
        <v>512</v>
      </c>
      <c r="J65" t="s">
        <v>512</v>
      </c>
      <c r="L65" t="s">
        <v>512</v>
      </c>
      <c r="M65" t="s">
        <v>512</v>
      </c>
      <c r="N65" t="s">
        <v>516</v>
      </c>
      <c r="O65" t="s">
        <v>512</v>
      </c>
      <c r="P65" t="s">
        <v>517</v>
      </c>
      <c r="Q65" t="s">
        <v>518</v>
      </c>
      <c r="R65" t="s">
        <v>519</v>
      </c>
    </row>
    <row r="66" spans="1:18" x14ac:dyDescent="0.25">
      <c r="A66" t="s">
        <v>646</v>
      </c>
      <c r="B66" t="s">
        <v>280</v>
      </c>
      <c r="C66" t="s">
        <v>512</v>
      </c>
      <c r="D66" t="s">
        <v>512</v>
      </c>
      <c r="E66" t="s">
        <v>512</v>
      </c>
      <c r="F66" t="s">
        <v>513</v>
      </c>
      <c r="G66" t="s">
        <v>647</v>
      </c>
      <c r="H66" t="s">
        <v>515</v>
      </c>
      <c r="I66" t="s">
        <v>512</v>
      </c>
      <c r="J66" t="s">
        <v>512</v>
      </c>
      <c r="L66" t="s">
        <v>512</v>
      </c>
      <c r="M66" t="s">
        <v>512</v>
      </c>
      <c r="N66" t="s">
        <v>516</v>
      </c>
      <c r="O66" t="s">
        <v>512</v>
      </c>
      <c r="P66" t="s">
        <v>517</v>
      </c>
      <c r="Q66" t="s">
        <v>518</v>
      </c>
      <c r="R66" t="s">
        <v>519</v>
      </c>
    </row>
    <row r="67" spans="1:18" x14ac:dyDescent="0.25">
      <c r="A67" t="s">
        <v>648</v>
      </c>
      <c r="B67" t="s">
        <v>302</v>
      </c>
      <c r="C67" t="s">
        <v>512</v>
      </c>
      <c r="D67" t="s">
        <v>512</v>
      </c>
      <c r="E67" t="s">
        <v>512</v>
      </c>
      <c r="F67" t="s">
        <v>513</v>
      </c>
      <c r="G67" t="s">
        <v>649</v>
      </c>
      <c r="H67" t="s">
        <v>515</v>
      </c>
      <c r="I67" t="s">
        <v>512</v>
      </c>
      <c r="J67" t="s">
        <v>512</v>
      </c>
      <c r="L67" t="s">
        <v>512</v>
      </c>
      <c r="M67" t="s">
        <v>512</v>
      </c>
      <c r="N67" t="s">
        <v>516</v>
      </c>
      <c r="O67" t="s">
        <v>512</v>
      </c>
      <c r="P67" t="s">
        <v>517</v>
      </c>
      <c r="Q67" t="s">
        <v>518</v>
      </c>
    </row>
    <row r="68" spans="1:18" x14ac:dyDescent="0.25">
      <c r="A68" t="s">
        <v>650</v>
      </c>
      <c r="B68" t="s">
        <v>327</v>
      </c>
      <c r="C68" t="s">
        <v>512</v>
      </c>
      <c r="D68" t="s">
        <v>512</v>
      </c>
      <c r="E68" t="s">
        <v>512</v>
      </c>
      <c r="F68" t="s">
        <v>513</v>
      </c>
      <c r="G68" t="s">
        <v>651</v>
      </c>
      <c r="H68" t="s">
        <v>515</v>
      </c>
      <c r="I68" t="s">
        <v>512</v>
      </c>
      <c r="J68" t="s">
        <v>512</v>
      </c>
      <c r="L68" t="s">
        <v>512</v>
      </c>
      <c r="M68" t="s">
        <v>512</v>
      </c>
      <c r="N68" t="s">
        <v>516</v>
      </c>
      <c r="O68" t="s">
        <v>512</v>
      </c>
      <c r="P68" t="s">
        <v>517</v>
      </c>
      <c r="Q68" t="s">
        <v>518</v>
      </c>
    </row>
    <row r="69" spans="1:18" x14ac:dyDescent="0.25">
      <c r="A69" t="s">
        <v>652</v>
      </c>
      <c r="B69" t="s">
        <v>328</v>
      </c>
      <c r="C69" t="s">
        <v>512</v>
      </c>
      <c r="D69" t="s">
        <v>512</v>
      </c>
      <c r="E69" t="s">
        <v>512</v>
      </c>
      <c r="F69" t="s">
        <v>513</v>
      </c>
      <c r="G69" t="s">
        <v>653</v>
      </c>
      <c r="H69" t="s">
        <v>515</v>
      </c>
      <c r="I69" t="s">
        <v>512</v>
      </c>
      <c r="J69" t="s">
        <v>512</v>
      </c>
      <c r="K69" t="s">
        <v>512</v>
      </c>
      <c r="L69" t="s">
        <v>512</v>
      </c>
      <c r="M69" t="s">
        <v>512</v>
      </c>
      <c r="N69" t="s">
        <v>516</v>
      </c>
      <c r="O69" t="s">
        <v>512</v>
      </c>
      <c r="P69" t="s">
        <v>517</v>
      </c>
      <c r="Q69" t="s">
        <v>518</v>
      </c>
    </row>
    <row r="70" spans="1:18" x14ac:dyDescent="0.25">
      <c r="A70" t="s">
        <v>654</v>
      </c>
      <c r="B70" t="s">
        <v>281</v>
      </c>
      <c r="C70" t="s">
        <v>512</v>
      </c>
      <c r="D70" t="s">
        <v>512</v>
      </c>
      <c r="E70" t="s">
        <v>512</v>
      </c>
      <c r="F70" t="s">
        <v>513</v>
      </c>
      <c r="G70" t="s">
        <v>655</v>
      </c>
      <c r="H70" t="s">
        <v>515</v>
      </c>
      <c r="I70" t="s">
        <v>512</v>
      </c>
      <c r="J70" t="s">
        <v>512</v>
      </c>
      <c r="K70" t="s">
        <v>512</v>
      </c>
      <c r="L70" t="s">
        <v>512</v>
      </c>
      <c r="M70" t="s">
        <v>512</v>
      </c>
      <c r="N70" t="s">
        <v>516</v>
      </c>
      <c r="O70" t="s">
        <v>512</v>
      </c>
      <c r="P70" t="s">
        <v>517</v>
      </c>
      <c r="Q70" t="s">
        <v>518</v>
      </c>
    </row>
    <row r="71" spans="1:18" x14ac:dyDescent="0.25">
      <c r="A71" t="s">
        <v>656</v>
      </c>
      <c r="B71" t="s">
        <v>159</v>
      </c>
      <c r="C71" t="s">
        <v>512</v>
      </c>
      <c r="D71" t="s">
        <v>512</v>
      </c>
      <c r="E71" t="s">
        <v>512</v>
      </c>
      <c r="F71" t="s">
        <v>513</v>
      </c>
      <c r="G71" t="s">
        <v>657</v>
      </c>
      <c r="H71" t="s">
        <v>515</v>
      </c>
      <c r="I71" t="s">
        <v>512</v>
      </c>
      <c r="J71" t="s">
        <v>512</v>
      </c>
      <c r="L71" t="s">
        <v>512</v>
      </c>
      <c r="M71" t="s">
        <v>512</v>
      </c>
      <c r="N71" t="s">
        <v>516</v>
      </c>
      <c r="O71" t="s">
        <v>512</v>
      </c>
      <c r="P71" t="s">
        <v>517</v>
      </c>
      <c r="Q71" t="s">
        <v>518</v>
      </c>
    </row>
    <row r="72" spans="1:18" x14ac:dyDescent="0.25">
      <c r="A72" t="s">
        <v>658</v>
      </c>
      <c r="B72" t="s">
        <v>326</v>
      </c>
      <c r="C72" t="s">
        <v>512</v>
      </c>
      <c r="D72" t="s">
        <v>512</v>
      </c>
      <c r="E72" t="s">
        <v>512</v>
      </c>
      <c r="F72" t="s">
        <v>513</v>
      </c>
      <c r="G72" t="s">
        <v>659</v>
      </c>
      <c r="H72" t="s">
        <v>515</v>
      </c>
      <c r="I72" t="s">
        <v>512</v>
      </c>
      <c r="J72" t="s">
        <v>512</v>
      </c>
      <c r="K72" t="s">
        <v>512</v>
      </c>
      <c r="L72" t="s">
        <v>512</v>
      </c>
      <c r="M72" t="s">
        <v>512</v>
      </c>
      <c r="N72" t="s">
        <v>516</v>
      </c>
      <c r="O72" t="s">
        <v>512</v>
      </c>
      <c r="P72" t="s">
        <v>517</v>
      </c>
      <c r="Q72" t="s">
        <v>518</v>
      </c>
    </row>
    <row r="73" spans="1:18" x14ac:dyDescent="0.25">
      <c r="A73" t="s">
        <v>660</v>
      </c>
      <c r="B73" t="s">
        <v>330</v>
      </c>
      <c r="C73" t="s">
        <v>512</v>
      </c>
      <c r="D73" t="s">
        <v>512</v>
      </c>
      <c r="E73" t="s">
        <v>512</v>
      </c>
      <c r="F73" t="s">
        <v>513</v>
      </c>
      <c r="G73" t="s">
        <v>661</v>
      </c>
      <c r="H73" t="s">
        <v>515</v>
      </c>
      <c r="I73" t="s">
        <v>512</v>
      </c>
      <c r="J73" t="s">
        <v>512</v>
      </c>
      <c r="K73" t="s">
        <v>512</v>
      </c>
      <c r="L73" t="s">
        <v>512</v>
      </c>
      <c r="M73" t="s">
        <v>512</v>
      </c>
      <c r="N73" t="s">
        <v>516</v>
      </c>
      <c r="O73" t="s">
        <v>512</v>
      </c>
      <c r="P73" t="s">
        <v>517</v>
      </c>
      <c r="Q73" t="s">
        <v>518</v>
      </c>
    </row>
    <row r="74" spans="1:18" x14ac:dyDescent="0.25">
      <c r="A74" t="s">
        <v>662</v>
      </c>
      <c r="B74" t="s">
        <v>329</v>
      </c>
      <c r="C74" t="s">
        <v>512</v>
      </c>
      <c r="D74" t="s">
        <v>512</v>
      </c>
      <c r="E74" t="s">
        <v>512</v>
      </c>
      <c r="F74" t="s">
        <v>513</v>
      </c>
      <c r="G74" t="s">
        <v>663</v>
      </c>
      <c r="H74" t="s">
        <v>515</v>
      </c>
      <c r="I74" t="s">
        <v>512</v>
      </c>
      <c r="J74" t="s">
        <v>512</v>
      </c>
      <c r="K74" t="s">
        <v>512</v>
      </c>
      <c r="L74" t="s">
        <v>512</v>
      </c>
      <c r="M74" t="s">
        <v>512</v>
      </c>
      <c r="N74" t="s">
        <v>516</v>
      </c>
      <c r="O74" t="s">
        <v>512</v>
      </c>
      <c r="P74" t="s">
        <v>517</v>
      </c>
      <c r="Q74" t="s">
        <v>518</v>
      </c>
    </row>
    <row r="75" spans="1:18" x14ac:dyDescent="0.25">
      <c r="A75" t="s">
        <v>664</v>
      </c>
      <c r="B75" t="s">
        <v>145</v>
      </c>
      <c r="C75" t="s">
        <v>512</v>
      </c>
      <c r="D75" t="s">
        <v>512</v>
      </c>
      <c r="E75" t="s">
        <v>512</v>
      </c>
      <c r="F75" t="s">
        <v>513</v>
      </c>
      <c r="G75" t="s">
        <v>665</v>
      </c>
      <c r="H75" t="s">
        <v>515</v>
      </c>
      <c r="I75" t="s">
        <v>512</v>
      </c>
      <c r="J75" t="s">
        <v>512</v>
      </c>
      <c r="K75" t="s">
        <v>512</v>
      </c>
      <c r="L75" t="s">
        <v>512</v>
      </c>
      <c r="M75" t="s">
        <v>512</v>
      </c>
      <c r="N75" t="s">
        <v>516</v>
      </c>
      <c r="O75" t="s">
        <v>512</v>
      </c>
      <c r="P75" t="s">
        <v>517</v>
      </c>
      <c r="Q75" t="s">
        <v>518</v>
      </c>
    </row>
    <row r="76" spans="1:18" x14ac:dyDescent="0.25">
      <c r="A76" t="s">
        <v>666</v>
      </c>
      <c r="B76" t="s">
        <v>331</v>
      </c>
      <c r="C76" t="s">
        <v>512</v>
      </c>
      <c r="D76" t="s">
        <v>512</v>
      </c>
      <c r="E76" t="s">
        <v>512</v>
      </c>
      <c r="F76" t="s">
        <v>513</v>
      </c>
      <c r="G76" t="s">
        <v>667</v>
      </c>
      <c r="H76" t="s">
        <v>515</v>
      </c>
      <c r="I76" t="s">
        <v>512</v>
      </c>
      <c r="J76" t="s">
        <v>512</v>
      </c>
      <c r="K76" t="s">
        <v>512</v>
      </c>
      <c r="L76" t="s">
        <v>512</v>
      </c>
      <c r="M76" t="s">
        <v>512</v>
      </c>
      <c r="N76" t="s">
        <v>516</v>
      </c>
      <c r="O76" t="s">
        <v>512</v>
      </c>
      <c r="P76" t="s">
        <v>517</v>
      </c>
      <c r="Q76" t="s">
        <v>518</v>
      </c>
    </row>
    <row r="77" spans="1:18" x14ac:dyDescent="0.25">
      <c r="A77" t="s">
        <v>668</v>
      </c>
      <c r="B77" t="s">
        <v>143</v>
      </c>
      <c r="C77" t="s">
        <v>512</v>
      </c>
      <c r="D77" t="s">
        <v>512</v>
      </c>
      <c r="E77" t="s">
        <v>512</v>
      </c>
      <c r="F77" t="s">
        <v>513</v>
      </c>
      <c r="G77" t="s">
        <v>669</v>
      </c>
      <c r="H77" t="s">
        <v>515</v>
      </c>
      <c r="I77" t="s">
        <v>512</v>
      </c>
      <c r="J77" t="s">
        <v>512</v>
      </c>
      <c r="K77" t="s">
        <v>512</v>
      </c>
      <c r="L77" t="s">
        <v>512</v>
      </c>
      <c r="M77" t="s">
        <v>512</v>
      </c>
      <c r="N77" t="s">
        <v>516</v>
      </c>
      <c r="O77" t="s">
        <v>512</v>
      </c>
      <c r="P77" t="s">
        <v>517</v>
      </c>
      <c r="Q77" t="s">
        <v>518</v>
      </c>
    </row>
    <row r="78" spans="1:18" x14ac:dyDescent="0.25">
      <c r="A78" t="s">
        <v>670</v>
      </c>
      <c r="B78" t="s">
        <v>148</v>
      </c>
      <c r="C78" t="s">
        <v>512</v>
      </c>
      <c r="D78" t="s">
        <v>512</v>
      </c>
      <c r="E78" t="s">
        <v>512</v>
      </c>
      <c r="F78" t="s">
        <v>513</v>
      </c>
      <c r="G78" t="s">
        <v>671</v>
      </c>
      <c r="H78" t="s">
        <v>515</v>
      </c>
      <c r="I78" t="s">
        <v>512</v>
      </c>
      <c r="J78" t="s">
        <v>512</v>
      </c>
      <c r="K78" t="s">
        <v>512</v>
      </c>
      <c r="L78" t="s">
        <v>512</v>
      </c>
      <c r="M78" t="s">
        <v>512</v>
      </c>
      <c r="N78" t="s">
        <v>516</v>
      </c>
      <c r="O78" t="s">
        <v>512</v>
      </c>
      <c r="P78" t="s">
        <v>517</v>
      </c>
      <c r="Q78" t="s">
        <v>518</v>
      </c>
    </row>
    <row r="79" spans="1:18" x14ac:dyDescent="0.25">
      <c r="A79" t="s">
        <v>672</v>
      </c>
      <c r="B79" t="s">
        <v>332</v>
      </c>
      <c r="C79" t="s">
        <v>512</v>
      </c>
      <c r="D79" t="s">
        <v>512</v>
      </c>
      <c r="E79" t="s">
        <v>512</v>
      </c>
      <c r="F79" t="s">
        <v>513</v>
      </c>
      <c r="G79" t="s">
        <v>673</v>
      </c>
      <c r="H79" t="s">
        <v>515</v>
      </c>
      <c r="I79" t="s">
        <v>512</v>
      </c>
      <c r="J79" t="s">
        <v>512</v>
      </c>
      <c r="K79" t="s">
        <v>512</v>
      </c>
      <c r="L79" t="s">
        <v>512</v>
      </c>
      <c r="M79" t="s">
        <v>512</v>
      </c>
      <c r="N79" t="s">
        <v>516</v>
      </c>
      <c r="O79" t="s">
        <v>512</v>
      </c>
      <c r="P79" t="s">
        <v>517</v>
      </c>
      <c r="Q79" t="s">
        <v>518</v>
      </c>
    </row>
    <row r="80" spans="1:18" x14ac:dyDescent="0.25">
      <c r="A80" t="s">
        <v>674</v>
      </c>
      <c r="B80" t="s">
        <v>334</v>
      </c>
      <c r="C80" t="s">
        <v>512</v>
      </c>
      <c r="D80" t="s">
        <v>512</v>
      </c>
      <c r="E80" t="s">
        <v>512</v>
      </c>
      <c r="F80" t="s">
        <v>513</v>
      </c>
      <c r="G80" t="s">
        <v>675</v>
      </c>
      <c r="H80" t="s">
        <v>515</v>
      </c>
      <c r="I80" t="s">
        <v>512</v>
      </c>
      <c r="J80" t="s">
        <v>512</v>
      </c>
      <c r="K80" t="s">
        <v>512</v>
      </c>
      <c r="L80" t="s">
        <v>512</v>
      </c>
      <c r="M80" t="s">
        <v>512</v>
      </c>
      <c r="N80" t="s">
        <v>516</v>
      </c>
      <c r="O80" t="s">
        <v>512</v>
      </c>
      <c r="P80" t="s">
        <v>517</v>
      </c>
      <c r="Q80" t="s">
        <v>518</v>
      </c>
    </row>
    <row r="81" spans="1:18" x14ac:dyDescent="0.25">
      <c r="A81" t="s">
        <v>676</v>
      </c>
      <c r="B81" t="s">
        <v>282</v>
      </c>
      <c r="C81" t="s">
        <v>512</v>
      </c>
      <c r="D81" t="s">
        <v>512</v>
      </c>
      <c r="E81" t="s">
        <v>512</v>
      </c>
      <c r="F81" t="s">
        <v>513</v>
      </c>
      <c r="G81" t="s">
        <v>677</v>
      </c>
      <c r="H81" t="s">
        <v>515</v>
      </c>
      <c r="I81" t="s">
        <v>512</v>
      </c>
      <c r="J81" t="s">
        <v>512</v>
      </c>
      <c r="K81" t="s">
        <v>512</v>
      </c>
      <c r="L81" t="s">
        <v>512</v>
      </c>
      <c r="M81" t="s">
        <v>512</v>
      </c>
      <c r="N81" t="s">
        <v>516</v>
      </c>
      <c r="O81" t="s">
        <v>512</v>
      </c>
      <c r="P81" t="s">
        <v>517</v>
      </c>
      <c r="Q81" t="s">
        <v>518</v>
      </c>
    </row>
    <row r="82" spans="1:18" x14ac:dyDescent="0.25">
      <c r="A82" t="s">
        <v>678</v>
      </c>
      <c r="B82" t="s">
        <v>320</v>
      </c>
      <c r="C82" t="s">
        <v>512</v>
      </c>
      <c r="D82" t="s">
        <v>512</v>
      </c>
      <c r="E82" t="s">
        <v>512</v>
      </c>
      <c r="F82" t="s">
        <v>513</v>
      </c>
      <c r="G82" t="s">
        <v>679</v>
      </c>
      <c r="H82" t="s">
        <v>515</v>
      </c>
      <c r="I82" t="s">
        <v>512</v>
      </c>
      <c r="J82" t="s">
        <v>512</v>
      </c>
      <c r="K82" t="s">
        <v>512</v>
      </c>
      <c r="L82" t="s">
        <v>512</v>
      </c>
      <c r="M82" t="s">
        <v>512</v>
      </c>
      <c r="N82" t="s">
        <v>516</v>
      </c>
      <c r="O82" t="s">
        <v>512</v>
      </c>
      <c r="P82" t="s">
        <v>517</v>
      </c>
      <c r="Q82" t="s">
        <v>518</v>
      </c>
    </row>
    <row r="83" spans="1:18" x14ac:dyDescent="0.25">
      <c r="A83" t="s">
        <v>680</v>
      </c>
      <c r="B83" t="s">
        <v>283</v>
      </c>
      <c r="C83" t="s">
        <v>512</v>
      </c>
      <c r="D83" t="s">
        <v>512</v>
      </c>
      <c r="E83" t="s">
        <v>512</v>
      </c>
      <c r="F83" t="s">
        <v>513</v>
      </c>
      <c r="G83" t="s">
        <v>681</v>
      </c>
      <c r="H83" t="s">
        <v>515</v>
      </c>
      <c r="I83" t="s">
        <v>512</v>
      </c>
      <c r="J83" t="s">
        <v>512</v>
      </c>
      <c r="K83" t="s">
        <v>512</v>
      </c>
      <c r="L83" t="s">
        <v>512</v>
      </c>
      <c r="M83" t="s">
        <v>512</v>
      </c>
      <c r="N83" t="s">
        <v>516</v>
      </c>
      <c r="O83" t="s">
        <v>512</v>
      </c>
      <c r="P83" t="s">
        <v>517</v>
      </c>
      <c r="Q83" t="s">
        <v>518</v>
      </c>
    </row>
    <row r="84" spans="1:18" x14ac:dyDescent="0.25">
      <c r="A84" t="s">
        <v>682</v>
      </c>
      <c r="B84" t="s">
        <v>683</v>
      </c>
      <c r="C84" t="s">
        <v>512</v>
      </c>
      <c r="D84" t="s">
        <v>512</v>
      </c>
      <c r="E84" t="s">
        <v>512</v>
      </c>
      <c r="F84" t="s">
        <v>513</v>
      </c>
      <c r="G84" t="s">
        <v>684</v>
      </c>
      <c r="H84" t="s">
        <v>515</v>
      </c>
      <c r="I84" t="s">
        <v>512</v>
      </c>
      <c r="J84" t="s">
        <v>512</v>
      </c>
      <c r="L84" t="s">
        <v>512</v>
      </c>
      <c r="M84" t="s">
        <v>512</v>
      </c>
      <c r="N84" t="s">
        <v>685</v>
      </c>
      <c r="P84" t="s">
        <v>517</v>
      </c>
      <c r="Q84" t="s">
        <v>518</v>
      </c>
      <c r="R84" t="s">
        <v>519</v>
      </c>
    </row>
    <row r="85" spans="1:18" x14ac:dyDescent="0.25">
      <c r="A85" t="s">
        <v>686</v>
      </c>
      <c r="B85" t="s">
        <v>687</v>
      </c>
      <c r="C85" t="s">
        <v>512</v>
      </c>
      <c r="D85" t="s">
        <v>512</v>
      </c>
      <c r="E85" t="s">
        <v>512</v>
      </c>
      <c r="F85" t="s">
        <v>513</v>
      </c>
      <c r="G85" t="s">
        <v>688</v>
      </c>
      <c r="H85" t="s">
        <v>515</v>
      </c>
      <c r="I85" t="s">
        <v>512</v>
      </c>
      <c r="J85" t="s">
        <v>512</v>
      </c>
      <c r="L85" t="s">
        <v>512</v>
      </c>
      <c r="M85" t="s">
        <v>512</v>
      </c>
      <c r="N85" t="s">
        <v>685</v>
      </c>
      <c r="P85" t="s">
        <v>517</v>
      </c>
      <c r="Q85" t="s">
        <v>518</v>
      </c>
      <c r="R85" t="s">
        <v>519</v>
      </c>
    </row>
    <row r="86" spans="1:18" x14ac:dyDescent="0.25">
      <c r="A86" t="s">
        <v>689</v>
      </c>
      <c r="B86" t="s">
        <v>690</v>
      </c>
      <c r="C86" t="s">
        <v>512</v>
      </c>
      <c r="D86" t="s">
        <v>512</v>
      </c>
      <c r="E86" t="s">
        <v>512</v>
      </c>
      <c r="G86" t="s">
        <v>691</v>
      </c>
      <c r="H86" t="s">
        <v>515</v>
      </c>
      <c r="I86" t="s">
        <v>512</v>
      </c>
      <c r="R86" t="s">
        <v>519</v>
      </c>
    </row>
    <row r="87" spans="1:18" x14ac:dyDescent="0.25">
      <c r="A87" t="s">
        <v>692</v>
      </c>
      <c r="B87" t="s">
        <v>693</v>
      </c>
      <c r="C87" t="s">
        <v>512</v>
      </c>
      <c r="D87" t="s">
        <v>512</v>
      </c>
      <c r="E87" t="s">
        <v>512</v>
      </c>
      <c r="F87" t="s">
        <v>513</v>
      </c>
      <c r="G87" t="s">
        <v>694</v>
      </c>
      <c r="H87" t="s">
        <v>515</v>
      </c>
      <c r="I87" t="s">
        <v>512</v>
      </c>
      <c r="J87" t="s">
        <v>512</v>
      </c>
      <c r="L87" t="s">
        <v>512</v>
      </c>
      <c r="M87" t="s">
        <v>512</v>
      </c>
      <c r="N87" t="s">
        <v>685</v>
      </c>
      <c r="P87" t="s">
        <v>517</v>
      </c>
      <c r="Q87" t="s">
        <v>518</v>
      </c>
      <c r="R87" t="s">
        <v>519</v>
      </c>
    </row>
    <row r="88" spans="1:18" x14ac:dyDescent="0.25">
      <c r="A88" t="s">
        <v>695</v>
      </c>
      <c r="B88" t="s">
        <v>696</v>
      </c>
      <c r="C88" t="s">
        <v>512</v>
      </c>
      <c r="D88" t="s">
        <v>512</v>
      </c>
      <c r="E88" t="s">
        <v>512</v>
      </c>
      <c r="F88" t="s">
        <v>513</v>
      </c>
      <c r="G88" t="s">
        <v>694</v>
      </c>
      <c r="H88" t="s">
        <v>515</v>
      </c>
      <c r="I88" t="s">
        <v>512</v>
      </c>
      <c r="J88" t="s">
        <v>512</v>
      </c>
      <c r="L88" t="s">
        <v>512</v>
      </c>
      <c r="M88" t="s">
        <v>512</v>
      </c>
      <c r="N88" t="s">
        <v>685</v>
      </c>
      <c r="P88" t="s">
        <v>517</v>
      </c>
      <c r="Q88" t="s">
        <v>518</v>
      </c>
      <c r="R88" t="s">
        <v>519</v>
      </c>
    </row>
    <row r="89" spans="1:18" x14ac:dyDescent="0.25">
      <c r="A89" t="s">
        <v>697</v>
      </c>
      <c r="B89" t="s">
        <v>698</v>
      </c>
      <c r="C89" t="s">
        <v>512</v>
      </c>
      <c r="D89" t="s">
        <v>512</v>
      </c>
      <c r="E89" t="s">
        <v>512</v>
      </c>
      <c r="F89" t="s">
        <v>513</v>
      </c>
      <c r="G89" t="s">
        <v>694</v>
      </c>
      <c r="H89" t="s">
        <v>515</v>
      </c>
      <c r="I89" t="s">
        <v>512</v>
      </c>
      <c r="J89" t="s">
        <v>512</v>
      </c>
      <c r="L89" t="s">
        <v>512</v>
      </c>
      <c r="M89" t="s">
        <v>512</v>
      </c>
      <c r="N89" t="s">
        <v>685</v>
      </c>
      <c r="P89" t="s">
        <v>517</v>
      </c>
      <c r="Q89" t="s">
        <v>518</v>
      </c>
      <c r="R89" t="s">
        <v>519</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83"/>
  <sheetViews>
    <sheetView zoomScale="85" zoomScaleNormal="85" workbookViewId="0">
      <selection activeCell="B27" sqref="B27"/>
    </sheetView>
  </sheetViews>
  <sheetFormatPr defaultRowHeight="15" x14ac:dyDescent="0.25"/>
  <cols>
    <col min="1" max="1" width="31.85546875" customWidth="1"/>
    <col min="2" max="2" width="20" style="1" customWidth="1"/>
    <col min="3" max="3" width="71" style="1" customWidth="1"/>
    <col min="4" max="4" width="27.5703125" bestFit="1" customWidth="1"/>
    <col min="5" max="5" width="23.140625" bestFit="1" customWidth="1"/>
    <col min="6" max="6" width="16.7109375" bestFit="1" customWidth="1"/>
    <col min="7" max="7" width="40.28515625" bestFit="1" customWidth="1"/>
    <col min="8" max="8" width="30.7109375" bestFit="1" customWidth="1"/>
    <col min="9" max="9" width="37.28515625" bestFit="1" customWidth="1"/>
    <col min="10" max="10" width="34.42578125" bestFit="1" customWidth="1"/>
    <col min="11" max="11" width="20.28515625" bestFit="1" customWidth="1"/>
    <col min="12" max="12" width="22.5703125" bestFit="1" customWidth="1"/>
    <col min="13" max="13" width="22.85546875" bestFit="1" customWidth="1"/>
    <col min="14" max="14" width="30.28515625" bestFit="1" customWidth="1"/>
    <col min="15" max="15" width="24.5703125" bestFit="1" customWidth="1"/>
    <col min="16" max="16" width="21.5703125" bestFit="1" customWidth="1"/>
    <col min="17" max="17" width="33.85546875" bestFit="1" customWidth="1"/>
  </cols>
  <sheetData>
    <row r="1" spans="1:3" s="8" customFormat="1" x14ac:dyDescent="0.25">
      <c r="B1" s="1" t="s">
        <v>738</v>
      </c>
      <c r="C1" s="1"/>
    </row>
    <row r="2" spans="1:3" ht="86.45" x14ac:dyDescent="0.3">
      <c r="A2" s="2" t="s">
        <v>401</v>
      </c>
      <c r="B2" s="3" t="b">
        <v>0</v>
      </c>
      <c r="C2" s="3" t="s">
        <v>508</v>
      </c>
    </row>
    <row r="3" spans="1:3" ht="14.45" x14ac:dyDescent="0.3">
      <c r="C3" s="1" t="s">
        <v>402</v>
      </c>
    </row>
    <row r="4" spans="1:3" ht="14.45" x14ac:dyDescent="0.3">
      <c r="C4" s="1" t="s">
        <v>403</v>
      </c>
    </row>
    <row r="10" spans="1:3" ht="30" x14ac:dyDescent="0.25">
      <c r="A10" s="2" t="s">
        <v>409</v>
      </c>
      <c r="B10" s="3" t="b">
        <v>0</v>
      </c>
      <c r="C10" s="3" t="s">
        <v>410</v>
      </c>
    </row>
    <row r="11" spans="1:3" ht="30" x14ac:dyDescent="0.25">
      <c r="B11" s="1" t="s">
        <v>750</v>
      </c>
      <c r="C11" s="1" t="s">
        <v>465</v>
      </c>
    </row>
    <row r="12" spans="1:3" ht="30" x14ac:dyDescent="0.25">
      <c r="B12" s="1" t="s">
        <v>751</v>
      </c>
      <c r="C12" s="1" t="s">
        <v>464</v>
      </c>
    </row>
    <row r="13" spans="1:3" s="8" customFormat="1" x14ac:dyDescent="0.25">
      <c r="B13" s="1"/>
      <c r="C13" s="1"/>
    </row>
    <row r="14" spans="1:3" s="8" customFormat="1" x14ac:dyDescent="0.25">
      <c r="B14" s="1"/>
      <c r="C14" s="1"/>
    </row>
    <row r="15" spans="1:3" s="8" customFormat="1" x14ac:dyDescent="0.25">
      <c r="B15" s="1"/>
      <c r="C15" s="1"/>
    </row>
    <row r="16" spans="1:3" ht="45" x14ac:dyDescent="0.25">
      <c r="A16" s="2" t="s">
        <v>411</v>
      </c>
      <c r="B16" s="3" t="s">
        <v>740</v>
      </c>
      <c r="C16" s="3" t="s">
        <v>412</v>
      </c>
    </row>
    <row r="17" spans="1:3" x14ac:dyDescent="0.25">
      <c r="C17" s="1" t="s">
        <v>413</v>
      </c>
    </row>
    <row r="18" spans="1:3" x14ac:dyDescent="0.25">
      <c r="C18" s="1" t="s">
        <v>414</v>
      </c>
    </row>
    <row r="19" spans="1:3" ht="30" x14ac:dyDescent="0.25">
      <c r="A19" s="2" t="s">
        <v>415</v>
      </c>
      <c r="B19" s="3" t="s">
        <v>741</v>
      </c>
      <c r="C19" s="3" t="s">
        <v>416</v>
      </c>
    </row>
    <row r="20" spans="1:3" ht="45" x14ac:dyDescent="0.25">
      <c r="C20" s="1" t="s">
        <v>417</v>
      </c>
    </row>
    <row r="21" spans="1:3" ht="30" x14ac:dyDescent="0.25">
      <c r="C21" s="1" t="s">
        <v>418</v>
      </c>
    </row>
    <row r="22" spans="1:3" s="8" customFormat="1" x14ac:dyDescent="0.25">
      <c r="B22" s="1"/>
      <c r="C22" s="1"/>
    </row>
    <row r="23" spans="1:3" s="8" customFormat="1" x14ac:dyDescent="0.25">
      <c r="B23" s="1"/>
      <c r="C23" s="1"/>
    </row>
    <row r="24" spans="1:3" s="8" customFormat="1" x14ac:dyDescent="0.25">
      <c r="B24" s="1"/>
      <c r="C24" s="1"/>
    </row>
    <row r="25" spans="1:3" s="8" customFormat="1" x14ac:dyDescent="0.25">
      <c r="B25" s="1"/>
      <c r="C25" s="1"/>
    </row>
    <row r="26" spans="1:3" s="8" customFormat="1" x14ac:dyDescent="0.25">
      <c r="B26" s="1"/>
      <c r="C26" s="1"/>
    </row>
    <row r="27" spans="1:3" s="8" customFormat="1" x14ac:dyDescent="0.25">
      <c r="B27" s="1"/>
      <c r="C27" s="1"/>
    </row>
    <row r="28" spans="1:3" s="8" customFormat="1" x14ac:dyDescent="0.25">
      <c r="B28" s="1"/>
      <c r="C28" s="1"/>
    </row>
    <row r="29" spans="1:3" ht="30" x14ac:dyDescent="0.25">
      <c r="A29" s="2" t="s">
        <v>419</v>
      </c>
      <c r="B29" s="3" t="s">
        <v>742</v>
      </c>
      <c r="C29" s="3" t="s">
        <v>420</v>
      </c>
    </row>
    <row r="30" spans="1:3" ht="45" x14ac:dyDescent="0.25">
      <c r="C30" s="1" t="s">
        <v>421</v>
      </c>
    </row>
    <row r="31" spans="1:3" ht="30" x14ac:dyDescent="0.25">
      <c r="C31" s="1" t="s">
        <v>422</v>
      </c>
    </row>
    <row r="32" spans="1:3" ht="30" x14ac:dyDescent="0.25">
      <c r="C32" s="1" t="s">
        <v>423</v>
      </c>
    </row>
    <row r="33" spans="1:3" ht="30" x14ac:dyDescent="0.25">
      <c r="A33" s="2" t="s">
        <v>424</v>
      </c>
      <c r="B33" s="3" t="s">
        <v>743</v>
      </c>
      <c r="C33" s="3" t="s">
        <v>425</v>
      </c>
    </row>
    <row r="34" spans="1:3" x14ac:dyDescent="0.25">
      <c r="C34" s="1" t="s">
        <v>426</v>
      </c>
    </row>
    <row r="35" spans="1:3" x14ac:dyDescent="0.25">
      <c r="C35" s="1" t="s">
        <v>427</v>
      </c>
    </row>
    <row r="36" spans="1:3" ht="60" x14ac:dyDescent="0.25">
      <c r="A36" s="2" t="s">
        <v>428</v>
      </c>
      <c r="B36" s="3" t="s">
        <v>744</v>
      </c>
      <c r="C36" s="3" t="s">
        <v>429</v>
      </c>
    </row>
    <row r="37" spans="1:3" x14ac:dyDescent="0.25">
      <c r="C37" s="1" t="s">
        <v>430</v>
      </c>
    </row>
    <row r="38" spans="1:3" x14ac:dyDescent="0.25">
      <c r="C38" s="1" t="s">
        <v>431</v>
      </c>
    </row>
    <row r="39" spans="1:3" ht="30" x14ac:dyDescent="0.25">
      <c r="A39" s="2" t="s">
        <v>432</v>
      </c>
      <c r="B39" s="3" t="s">
        <v>744</v>
      </c>
      <c r="C39" s="3" t="s">
        <v>433</v>
      </c>
    </row>
    <row r="40" spans="1:3" x14ac:dyDescent="0.25">
      <c r="C40" s="1" t="s">
        <v>434</v>
      </c>
    </row>
    <row r="41" spans="1:3" x14ac:dyDescent="0.25">
      <c r="C41" s="1" t="s">
        <v>435</v>
      </c>
    </row>
    <row r="42" spans="1:3" ht="30" x14ac:dyDescent="0.25">
      <c r="A42" s="2" t="s">
        <v>436</v>
      </c>
      <c r="B42" s="3" t="s">
        <v>734</v>
      </c>
      <c r="C42" s="3" t="s">
        <v>437</v>
      </c>
    </row>
    <row r="43" spans="1:3" x14ac:dyDescent="0.25">
      <c r="C43" s="1" t="s">
        <v>438</v>
      </c>
    </row>
    <row r="44" spans="1:3" x14ac:dyDescent="0.25">
      <c r="C44" s="1" t="s">
        <v>439</v>
      </c>
    </row>
    <row r="45" spans="1:3" x14ac:dyDescent="0.25">
      <c r="A45" s="2" t="s">
        <v>440</v>
      </c>
      <c r="B45" s="3" t="s">
        <v>701</v>
      </c>
      <c r="C45" s="3" t="s">
        <v>441</v>
      </c>
    </row>
    <row r="46" spans="1:3" ht="30" x14ac:dyDescent="0.25">
      <c r="C46" s="1" t="s">
        <v>442</v>
      </c>
    </row>
    <row r="47" spans="1:3" ht="30" x14ac:dyDescent="0.25">
      <c r="C47" s="1" t="s">
        <v>443</v>
      </c>
    </row>
    <row r="48" spans="1:3" ht="30" x14ac:dyDescent="0.25">
      <c r="A48" s="2" t="s">
        <v>444</v>
      </c>
      <c r="B48" s="3" t="s">
        <v>745</v>
      </c>
      <c r="C48" s="3" t="s">
        <v>445</v>
      </c>
    </row>
    <row r="49" spans="1:3" x14ac:dyDescent="0.25">
      <c r="C49" s="1" t="s">
        <v>446</v>
      </c>
    </row>
    <row r="50" spans="1:3" x14ac:dyDescent="0.25">
      <c r="C50" s="1" t="s">
        <v>447</v>
      </c>
    </row>
    <row r="51" spans="1:3" ht="45" x14ac:dyDescent="0.25">
      <c r="A51" s="2" t="s">
        <v>448</v>
      </c>
      <c r="B51" s="3" t="s">
        <v>744</v>
      </c>
      <c r="C51" s="3" t="s">
        <v>449</v>
      </c>
    </row>
    <row r="52" spans="1:3" x14ac:dyDescent="0.25">
      <c r="C52" s="1" t="s">
        <v>450</v>
      </c>
    </row>
    <row r="53" spans="1:3" x14ac:dyDescent="0.25">
      <c r="C53" s="1" t="s">
        <v>451</v>
      </c>
    </row>
    <row r="54" spans="1:3" ht="30" x14ac:dyDescent="0.25">
      <c r="A54" s="2" t="s">
        <v>452</v>
      </c>
      <c r="B54" s="9" t="s">
        <v>746</v>
      </c>
      <c r="C54" s="3" t="s">
        <v>453</v>
      </c>
    </row>
    <row r="55" spans="1:3" x14ac:dyDescent="0.25">
      <c r="B55" s="10"/>
      <c r="C55" s="1" t="s">
        <v>454</v>
      </c>
    </row>
    <row r="56" spans="1:3" x14ac:dyDescent="0.25">
      <c r="B56" s="10"/>
      <c r="C56" s="1" t="s">
        <v>455</v>
      </c>
    </row>
    <row r="57" spans="1:3" ht="30" x14ac:dyDescent="0.25">
      <c r="A57" s="2" t="s">
        <v>456</v>
      </c>
      <c r="B57" s="9" t="s">
        <v>746</v>
      </c>
      <c r="C57" s="3" t="s">
        <v>457</v>
      </c>
    </row>
    <row r="58" spans="1:3" x14ac:dyDescent="0.25">
      <c r="C58" s="1" t="s">
        <v>458</v>
      </c>
    </row>
    <row r="59" spans="1:3" x14ac:dyDescent="0.25">
      <c r="C59" s="1" t="s">
        <v>459</v>
      </c>
    </row>
    <row r="60" spans="1:3" ht="45" x14ac:dyDescent="0.25">
      <c r="A60" s="2" t="s">
        <v>460</v>
      </c>
      <c r="B60" s="3" t="s">
        <v>747</v>
      </c>
      <c r="C60" s="3" t="s">
        <v>461</v>
      </c>
    </row>
    <row r="61" spans="1:3" x14ac:dyDescent="0.25">
      <c r="C61" s="1" t="s">
        <v>462</v>
      </c>
    </row>
    <row r="62" spans="1:3" ht="30" x14ac:dyDescent="0.25">
      <c r="C62" s="1" t="s">
        <v>405</v>
      </c>
    </row>
    <row r="63" spans="1:3" ht="30" x14ac:dyDescent="0.25">
      <c r="C63" s="1" t="s">
        <v>406</v>
      </c>
    </row>
    <row r="64" spans="1:3" ht="30" x14ac:dyDescent="0.25">
      <c r="C64" s="1" t="s">
        <v>463</v>
      </c>
    </row>
    <row r="65" spans="1:3" ht="45" x14ac:dyDescent="0.25">
      <c r="A65" s="2" t="s">
        <v>404</v>
      </c>
      <c r="B65" s="3" t="s">
        <v>739</v>
      </c>
      <c r="C65" s="3" t="s">
        <v>507</v>
      </c>
    </row>
    <row r="66" spans="1:3" ht="30" x14ac:dyDescent="0.25">
      <c r="C66" s="1" t="s">
        <v>405</v>
      </c>
    </row>
    <row r="67" spans="1:3" ht="30" x14ac:dyDescent="0.25">
      <c r="C67" s="1" t="s">
        <v>406</v>
      </c>
    </row>
    <row r="68" spans="1:3" ht="30" x14ac:dyDescent="0.25">
      <c r="C68" s="1" t="s">
        <v>407</v>
      </c>
    </row>
    <row r="69" spans="1:3" ht="30" x14ac:dyDescent="0.25">
      <c r="C69" s="1" t="s">
        <v>408</v>
      </c>
    </row>
    <row r="70" spans="1:3" x14ac:dyDescent="0.25">
      <c r="A70" s="2" t="s">
        <v>409</v>
      </c>
      <c r="B70" s="3"/>
    </row>
    <row r="71" spans="1:3" x14ac:dyDescent="0.25">
      <c r="A71" s="2" t="s">
        <v>411</v>
      </c>
      <c r="B71" s="3"/>
    </row>
    <row r="72" spans="1:3" x14ac:dyDescent="0.25">
      <c r="A72" s="2" t="s">
        <v>415</v>
      </c>
      <c r="B72" s="3"/>
    </row>
    <row r="73" spans="1:3" x14ac:dyDescent="0.25">
      <c r="A73" s="2" t="s">
        <v>419</v>
      </c>
      <c r="B73" s="3"/>
    </row>
    <row r="74" spans="1:3" x14ac:dyDescent="0.25">
      <c r="A74" s="2" t="s">
        <v>424</v>
      </c>
      <c r="B74" s="3"/>
    </row>
    <row r="75" spans="1:3" x14ac:dyDescent="0.25">
      <c r="A75" s="2" t="s">
        <v>428</v>
      </c>
      <c r="B75" s="3"/>
    </row>
    <row r="76" spans="1:3" x14ac:dyDescent="0.25">
      <c r="A76" s="2" t="s">
        <v>432</v>
      </c>
      <c r="B76" s="3"/>
    </row>
    <row r="77" spans="1:3" x14ac:dyDescent="0.25">
      <c r="A77" s="2" t="s">
        <v>436</v>
      </c>
      <c r="B77" s="3"/>
    </row>
    <row r="78" spans="1:3" x14ac:dyDescent="0.25">
      <c r="A78" s="2" t="s">
        <v>440</v>
      </c>
      <c r="B78" s="3"/>
    </row>
    <row r="79" spans="1:3" x14ac:dyDescent="0.25">
      <c r="A79" s="2" t="s">
        <v>444</v>
      </c>
      <c r="B79" s="3"/>
    </row>
    <row r="80" spans="1:3" x14ac:dyDescent="0.25">
      <c r="A80" s="2" t="s">
        <v>448</v>
      </c>
      <c r="B80" s="3"/>
    </row>
    <row r="81" spans="1:2" x14ac:dyDescent="0.25">
      <c r="A81" s="2" t="s">
        <v>452</v>
      </c>
      <c r="B81" s="3"/>
    </row>
    <row r="82" spans="1:2" x14ac:dyDescent="0.25">
      <c r="A82" s="2" t="s">
        <v>456</v>
      </c>
      <c r="B82" s="3"/>
    </row>
    <row r="83" spans="1:2" x14ac:dyDescent="0.25">
      <c r="A83" s="2" t="s">
        <v>460</v>
      </c>
      <c r="B83" s="3"/>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PinResourceAlloc</vt:lpstr>
      <vt:lpstr>PortConfigOptions</vt:lpstr>
      <vt:lpstr>PortConfigDescr</vt:lpstr>
    </vt:vector>
  </TitlesOfParts>
  <Company>Nexteer</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Erlenbeck, Jason M</dc:creator>
  <cp:lastModifiedBy>McCann, Gerald M</cp:lastModifiedBy>
  <dcterms:created xsi:type="dcterms:W3CDTF">2014-12-29T21:00:06Z</dcterms:created>
  <dcterms:modified xsi:type="dcterms:W3CDTF">2016-12-06T15:13:57Z</dcterms:modified>
</cp:coreProperties>
</file>