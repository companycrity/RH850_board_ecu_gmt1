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88" windowWidth="8856" windowHeight="3648"/>
  </bookViews>
  <sheets>
    <sheet name="RegisterConfig" sheetId="1" r:id="rId1"/>
    <sheet name="Buffer" sheetId="3" r:id="rId2"/>
  </sheets>
  <functionGroups builtInGroupCount="17"/>
  <definedNames>
    <definedName name="_xlnm._FilterDatabase" localSheetId="0" hidden="1">RegisterConfig!$A$2:$J$121</definedName>
  </definedNames>
  <calcPr calcId="145621"/>
</workbook>
</file>

<file path=xl/calcChain.xml><?xml version="1.0" encoding="utf-8"?>
<calcChain xmlns="http://schemas.openxmlformats.org/spreadsheetml/2006/main">
  <c r="F41" i="3" l="1"/>
  <c r="F42" i="3"/>
  <c r="F43" i="3"/>
  <c r="F46" i="3"/>
  <c r="F49" i="3"/>
  <c r="F50" i="3"/>
  <c r="F51" i="3"/>
  <c r="F54" i="3"/>
  <c r="F57" i="3"/>
  <c r="F58" i="3"/>
  <c r="F59" i="3"/>
  <c r="F62" i="3"/>
  <c r="F65" i="3"/>
  <c r="F66" i="3"/>
  <c r="F67" i="3"/>
  <c r="F70" i="3"/>
  <c r="F73" i="3"/>
  <c r="F74" i="3"/>
  <c r="F75" i="3"/>
  <c r="F78" i="3"/>
  <c r="F81" i="3"/>
  <c r="F82" i="3"/>
  <c r="F83" i="3"/>
  <c r="F84" i="3"/>
  <c r="F85" i="3"/>
  <c r="F86" i="3"/>
  <c r="F87" i="3"/>
  <c r="F88" i="3"/>
  <c r="F89" i="3"/>
  <c r="F90" i="3"/>
  <c r="F91" i="3"/>
  <c r="H29" i="3"/>
  <c r="F29" i="3" s="1"/>
  <c r="H30" i="3"/>
  <c r="F30" i="3" s="1"/>
  <c r="H31" i="3"/>
  <c r="F31" i="3" s="1"/>
  <c r="H32" i="3"/>
  <c r="F32" i="3" s="1"/>
  <c r="H33" i="3"/>
  <c r="F33" i="3" s="1"/>
  <c r="H34" i="3"/>
  <c r="F34" i="3" s="1"/>
  <c r="H35" i="3"/>
  <c r="F35" i="3" s="1"/>
  <c r="H36" i="3"/>
  <c r="F36" i="3" s="1"/>
  <c r="H37" i="3"/>
  <c r="F37" i="3" s="1"/>
  <c r="H38" i="3"/>
  <c r="F38" i="3" s="1"/>
  <c r="H39" i="3"/>
  <c r="F39" i="3" s="1"/>
  <c r="H40" i="3"/>
  <c r="F40" i="3" s="1"/>
  <c r="H41" i="3"/>
  <c r="H42" i="3"/>
  <c r="H43" i="3"/>
  <c r="H44" i="3"/>
  <c r="F44" i="3" s="1"/>
  <c r="H45" i="3"/>
  <c r="F45" i="3" s="1"/>
  <c r="H46" i="3"/>
  <c r="H47" i="3"/>
  <c r="F47" i="3" s="1"/>
  <c r="H48" i="3"/>
  <c r="F48" i="3" s="1"/>
  <c r="H49" i="3"/>
  <c r="H50" i="3"/>
  <c r="H51" i="3"/>
  <c r="H52" i="3"/>
  <c r="F52" i="3" s="1"/>
  <c r="H53" i="3"/>
  <c r="F53" i="3" s="1"/>
  <c r="H54" i="3"/>
  <c r="H55" i="3"/>
  <c r="F55" i="3" s="1"/>
  <c r="H56" i="3"/>
  <c r="F56" i="3" s="1"/>
  <c r="H57" i="3"/>
  <c r="H58" i="3"/>
  <c r="H59" i="3"/>
  <c r="H60" i="3"/>
  <c r="F60" i="3" s="1"/>
  <c r="H61" i="3"/>
  <c r="F61" i="3" s="1"/>
  <c r="H62" i="3"/>
  <c r="H63" i="3"/>
  <c r="F63" i="3" s="1"/>
  <c r="H64" i="3"/>
  <c r="F64" i="3" s="1"/>
  <c r="H65" i="3"/>
  <c r="H66" i="3"/>
  <c r="H67" i="3"/>
  <c r="H68" i="3"/>
  <c r="F68" i="3" s="1"/>
  <c r="H69" i="3"/>
  <c r="F69" i="3" s="1"/>
  <c r="H70" i="3"/>
  <c r="H71" i="3"/>
  <c r="F71" i="3" s="1"/>
  <c r="H72" i="3"/>
  <c r="F72" i="3" s="1"/>
  <c r="H73" i="3"/>
  <c r="H74" i="3"/>
  <c r="H75" i="3"/>
  <c r="H76" i="3"/>
  <c r="F76" i="3" s="1"/>
  <c r="H77" i="3"/>
  <c r="F77" i="3" s="1"/>
  <c r="H78" i="3"/>
  <c r="H79" i="3"/>
  <c r="F79" i="3" s="1"/>
  <c r="H80" i="3"/>
  <c r="F80" i="3" s="1"/>
  <c r="H81" i="3"/>
  <c r="H82" i="3"/>
  <c r="H83" i="3"/>
  <c r="H84" i="3"/>
  <c r="H85" i="3"/>
  <c r="H86" i="3"/>
  <c r="H87" i="3"/>
  <c r="H88" i="3"/>
  <c r="H89" i="3"/>
  <c r="H90" i="3"/>
  <c r="H91" i="3"/>
  <c r="H28" i="3"/>
  <c r="F28" i="3" s="1"/>
  <c r="G31" i="3" l="1"/>
  <c r="G32" i="3"/>
  <c r="G33" i="3"/>
  <c r="G82" i="3"/>
  <c r="G83" i="3"/>
  <c r="G84" i="3"/>
  <c r="G85" i="3"/>
  <c r="G86" i="3"/>
  <c r="G87" i="3"/>
  <c r="G88" i="3"/>
  <c r="G89" i="3"/>
  <c r="G90" i="3"/>
  <c r="G91" i="3"/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3" i="3"/>
  <c r="B3" i="3"/>
  <c r="B16" i="3"/>
  <c r="B7" i="3"/>
  <c r="B9" i="3"/>
  <c r="B6" i="3"/>
  <c r="B4" i="3"/>
  <c r="B20" i="3"/>
  <c r="B11" i="3"/>
  <c r="B13" i="3"/>
  <c r="B14" i="3"/>
  <c r="B10" i="3"/>
  <c r="B19" i="3"/>
  <c r="B17" i="3"/>
  <c r="B22" i="3"/>
  <c r="B18" i="3"/>
  <c r="B5" i="3"/>
  <c r="B21" i="3"/>
  <c r="B15" i="3"/>
  <c r="B8" i="3"/>
  <c r="B12" i="3"/>
  <c r="E49" i="3" l="1"/>
  <c r="G49" i="3" s="1"/>
  <c r="E37" i="3"/>
  <c r="G37" i="3" s="1"/>
  <c r="E58" i="3"/>
  <c r="G58" i="3" s="1"/>
  <c r="E76" i="3"/>
  <c r="G76" i="3" s="1"/>
  <c r="E42" i="3"/>
  <c r="G42" i="3" s="1"/>
  <c r="E54" i="3"/>
  <c r="G54" i="3" s="1"/>
  <c r="E66" i="3"/>
  <c r="G66" i="3" s="1"/>
  <c r="E78" i="3"/>
  <c r="G78" i="3" s="1"/>
  <c r="E39" i="3"/>
  <c r="G39" i="3" s="1"/>
  <c r="E51" i="3"/>
  <c r="G51" i="3" s="1"/>
  <c r="E63" i="3"/>
  <c r="G63" i="3" s="1"/>
  <c r="E75" i="3"/>
  <c r="G75" i="3" s="1"/>
  <c r="E36" i="3"/>
  <c r="G36" i="3" s="1"/>
  <c r="E60" i="3"/>
  <c r="G60" i="3" s="1"/>
  <c r="E57" i="3"/>
  <c r="G57" i="3" s="1"/>
  <c r="E45" i="3"/>
  <c r="G45" i="3" s="1"/>
  <c r="E69" i="3"/>
  <c r="G69" i="3" s="1"/>
  <c r="E48" i="3"/>
  <c r="G48" i="3" s="1"/>
  <c r="E72" i="3"/>
  <c r="G72" i="3" s="1"/>
  <c r="E81" i="3"/>
  <c r="G81" i="3" s="1"/>
  <c r="E67" i="3"/>
  <c r="G67" i="3" s="1"/>
  <c r="E79" i="3"/>
  <c r="G79" i="3" s="1"/>
  <c r="E64" i="3"/>
  <c r="G64" i="3" s="1"/>
  <c r="E70" i="3"/>
  <c r="G70" i="3" s="1"/>
  <c r="E43" i="3"/>
  <c r="G43" i="3" s="1"/>
  <c r="E55" i="3"/>
  <c r="G55" i="3" s="1"/>
  <c r="E52" i="3"/>
  <c r="G52" i="3" s="1"/>
  <c r="E46" i="3"/>
  <c r="G46" i="3" s="1"/>
  <c r="E73" i="3"/>
  <c r="G73" i="3" s="1"/>
  <c r="E38" i="3"/>
  <c r="G38" i="3" s="1"/>
  <c r="E50" i="3"/>
  <c r="G50" i="3" s="1"/>
  <c r="E62" i="3"/>
  <c r="G62" i="3" s="1"/>
  <c r="E74" i="3"/>
  <c r="G74" i="3" s="1"/>
  <c r="E35" i="3"/>
  <c r="G35" i="3" s="1"/>
  <c r="E47" i="3"/>
  <c r="G47" i="3" s="1"/>
  <c r="E59" i="3"/>
  <c r="G59" i="3" s="1"/>
  <c r="E71" i="3"/>
  <c r="G71" i="3" s="1"/>
  <c r="E44" i="3"/>
  <c r="G44" i="3" s="1"/>
  <c r="E41" i="3"/>
  <c r="G41" i="3" s="1"/>
  <c r="E68" i="3"/>
  <c r="G68" i="3" s="1"/>
  <c r="E53" i="3"/>
  <c r="G53" i="3" s="1"/>
  <c r="E77" i="3"/>
  <c r="G77" i="3" s="1"/>
  <c r="E56" i="3"/>
  <c r="G56" i="3" s="1"/>
  <c r="E80" i="3"/>
  <c r="G80" i="3" s="1"/>
  <c r="E65" i="3"/>
  <c r="G65" i="3" s="1"/>
  <c r="E40" i="3"/>
  <c r="G40" i="3" s="1"/>
  <c r="E34" i="3"/>
  <c r="G34" i="3" s="1"/>
  <c r="E61" i="3"/>
  <c r="G61" i="3" s="1"/>
  <c r="E30" i="3"/>
  <c r="G30" i="3" s="1"/>
  <c r="E28" i="3"/>
  <c r="G28" i="3" s="1"/>
  <c r="E29" i="3"/>
  <c r="G29" i="3" s="1"/>
  <c r="G15" i="3"/>
  <c r="H15" i="3" s="1"/>
  <c r="G22" i="3"/>
  <c r="H22" i="3" s="1"/>
  <c r="G14" i="3"/>
  <c r="G6" i="3"/>
  <c r="H6" i="3" s="1"/>
  <c r="G21" i="3"/>
  <c r="H21" i="3" s="1"/>
  <c r="G17" i="3"/>
  <c r="H17" i="3" s="1"/>
  <c r="G13" i="3"/>
  <c r="G9" i="3"/>
  <c r="H9" i="3" s="1"/>
  <c r="G5" i="3"/>
  <c r="H5" i="3" s="1"/>
  <c r="G19" i="3"/>
  <c r="G11" i="3"/>
  <c r="G7" i="3"/>
  <c r="H7" i="3" s="1"/>
  <c r="G18" i="3"/>
  <c r="H18" i="3" s="1"/>
  <c r="G20" i="3"/>
  <c r="H20" i="3" s="1"/>
  <c r="G16" i="3"/>
  <c r="G12" i="3"/>
  <c r="H12" i="3" s="1"/>
  <c r="G8" i="3"/>
  <c r="G4" i="3"/>
  <c r="H4" i="3" s="1"/>
  <c r="G3" i="3"/>
  <c r="G10" i="3"/>
  <c r="H10" i="3" s="1"/>
  <c r="H8" i="3"/>
  <c r="H19" i="3"/>
  <c r="H3" i="3" l="1"/>
  <c r="X3" i="3"/>
  <c r="W3" i="3"/>
  <c r="Y3" i="3"/>
  <c r="T3" i="3"/>
  <c r="R3" i="3"/>
  <c r="P3" i="3"/>
  <c r="N3" i="3"/>
  <c r="L3" i="3"/>
  <c r="K3" i="3"/>
  <c r="V3" i="3"/>
  <c r="U3" i="3"/>
  <c r="S3" i="3"/>
  <c r="Q3" i="3"/>
  <c r="O3" i="3"/>
  <c r="M3" i="3"/>
  <c r="J3" i="3"/>
  <c r="W10" i="3"/>
  <c r="X10" i="3"/>
  <c r="L10" i="3"/>
  <c r="V10" i="3"/>
  <c r="S10" i="3"/>
  <c r="Q10" i="3"/>
  <c r="O10" i="3"/>
  <c r="M10" i="3"/>
  <c r="Y10" i="3"/>
  <c r="T10" i="3"/>
  <c r="R10" i="3"/>
  <c r="P10" i="3"/>
  <c r="N10" i="3"/>
  <c r="K10" i="3"/>
  <c r="U10" i="3"/>
  <c r="J10" i="3"/>
  <c r="U12" i="3"/>
  <c r="Y12" i="3"/>
  <c r="T12" i="3"/>
  <c r="S12" i="3"/>
  <c r="R12" i="3"/>
  <c r="Q12" i="3"/>
  <c r="P12" i="3"/>
  <c r="O12" i="3"/>
  <c r="N12" i="3"/>
  <c r="M12" i="3"/>
  <c r="J12" i="3"/>
  <c r="K12" i="3"/>
  <c r="V12" i="3"/>
  <c r="W12" i="3"/>
  <c r="X12" i="3"/>
  <c r="L12" i="3"/>
  <c r="V7" i="3"/>
  <c r="W7" i="3"/>
  <c r="X7" i="3"/>
  <c r="Y7" i="3"/>
  <c r="T7" i="3"/>
  <c r="R7" i="3"/>
  <c r="P7" i="3"/>
  <c r="N7" i="3"/>
  <c r="K7" i="3"/>
  <c r="U7" i="3"/>
  <c r="L7" i="3"/>
  <c r="S7" i="3"/>
  <c r="Q7" i="3"/>
  <c r="O7" i="3"/>
  <c r="M7" i="3"/>
  <c r="J7" i="3"/>
  <c r="X9" i="3"/>
  <c r="L9" i="3"/>
  <c r="V9" i="3"/>
  <c r="U9" i="3"/>
  <c r="Y9" i="3"/>
  <c r="T9" i="3"/>
  <c r="S9" i="3"/>
  <c r="R9" i="3"/>
  <c r="Q9" i="3"/>
  <c r="P9" i="3"/>
  <c r="O9" i="3"/>
  <c r="N9" i="3"/>
  <c r="M9" i="3"/>
  <c r="J9" i="3"/>
  <c r="K9" i="3"/>
  <c r="W9" i="3"/>
  <c r="W6" i="3"/>
  <c r="X6" i="3"/>
  <c r="L6" i="3"/>
  <c r="U6" i="3"/>
  <c r="Y6" i="3"/>
  <c r="T6" i="3"/>
  <c r="R6" i="3"/>
  <c r="N6" i="3"/>
  <c r="S6" i="3"/>
  <c r="Q6" i="3"/>
  <c r="O6" i="3"/>
  <c r="M6" i="3"/>
  <c r="J6" i="3"/>
  <c r="V6" i="3"/>
  <c r="P6" i="3"/>
  <c r="K6" i="3"/>
  <c r="U16" i="3"/>
  <c r="Y16" i="3"/>
  <c r="T16" i="3"/>
  <c r="S16" i="3"/>
  <c r="R16" i="3"/>
  <c r="Q16" i="3"/>
  <c r="P16" i="3"/>
  <c r="O16" i="3"/>
  <c r="N16" i="3"/>
  <c r="M16" i="3"/>
  <c r="J16" i="3"/>
  <c r="K16" i="3"/>
  <c r="V16" i="3"/>
  <c r="X16" i="3"/>
  <c r="L16" i="3"/>
  <c r="W16" i="3"/>
  <c r="V11" i="3"/>
  <c r="W11" i="3"/>
  <c r="Y11" i="3"/>
  <c r="S11" i="3"/>
  <c r="Q11" i="3"/>
  <c r="O11" i="3"/>
  <c r="M11" i="3"/>
  <c r="J11" i="3"/>
  <c r="L11" i="3"/>
  <c r="U11" i="3"/>
  <c r="T11" i="3"/>
  <c r="R11" i="3"/>
  <c r="P11" i="3"/>
  <c r="N11" i="3"/>
  <c r="K11" i="3"/>
  <c r="X11" i="3"/>
  <c r="H13" i="3"/>
  <c r="X13" i="3"/>
  <c r="L13" i="3"/>
  <c r="U13" i="3"/>
  <c r="Y13" i="3"/>
  <c r="T13" i="3"/>
  <c r="S13" i="3"/>
  <c r="R13" i="3"/>
  <c r="Q13" i="3"/>
  <c r="P13" i="3"/>
  <c r="O13" i="3"/>
  <c r="N13" i="3"/>
  <c r="M13" i="3"/>
  <c r="J13" i="3"/>
  <c r="K13" i="3"/>
  <c r="W13" i="3"/>
  <c r="V13" i="3"/>
  <c r="W14" i="3"/>
  <c r="X14" i="3"/>
  <c r="L14" i="3"/>
  <c r="P14" i="3"/>
  <c r="K14" i="3"/>
  <c r="U14" i="3"/>
  <c r="S14" i="3"/>
  <c r="Q14" i="3"/>
  <c r="O14" i="3"/>
  <c r="M14" i="3"/>
  <c r="J14" i="3"/>
  <c r="V14" i="3"/>
  <c r="Y14" i="3"/>
  <c r="T14" i="3"/>
  <c r="R14" i="3"/>
  <c r="N14" i="3"/>
  <c r="H14" i="3"/>
  <c r="H11" i="3"/>
  <c r="H16" i="3"/>
  <c r="U4" i="3"/>
  <c r="Y4" i="3"/>
  <c r="T4" i="3"/>
  <c r="S4" i="3"/>
  <c r="R4" i="3"/>
  <c r="Q4" i="3"/>
  <c r="P4" i="3"/>
  <c r="O4" i="3"/>
  <c r="N4" i="3"/>
  <c r="M4" i="3"/>
  <c r="J4" i="3"/>
  <c r="K4" i="3"/>
  <c r="V4" i="3"/>
  <c r="W4" i="3"/>
  <c r="X4" i="3"/>
  <c r="L4" i="3"/>
  <c r="U20" i="3"/>
  <c r="Y20" i="3"/>
  <c r="T20" i="3"/>
  <c r="S20" i="3"/>
  <c r="R20" i="3"/>
  <c r="Q20" i="3"/>
  <c r="P20" i="3"/>
  <c r="O20" i="3"/>
  <c r="N20" i="3"/>
  <c r="M20" i="3"/>
  <c r="J20" i="3"/>
  <c r="K20" i="3"/>
  <c r="V20" i="3"/>
  <c r="W20" i="3"/>
  <c r="X20" i="3"/>
  <c r="L20" i="3"/>
  <c r="V19" i="3"/>
  <c r="W19" i="3"/>
  <c r="Y19" i="3"/>
  <c r="S19" i="3"/>
  <c r="Q19" i="3"/>
  <c r="O19" i="3"/>
  <c r="M19" i="3"/>
  <c r="J19" i="3"/>
  <c r="L19" i="3"/>
  <c r="U19" i="3"/>
  <c r="T19" i="3"/>
  <c r="R19" i="3"/>
  <c r="P19" i="3"/>
  <c r="N19" i="3"/>
  <c r="K19" i="3"/>
  <c r="X19" i="3"/>
  <c r="X17" i="3"/>
  <c r="L17" i="3"/>
  <c r="U17" i="3"/>
  <c r="Y17" i="3"/>
  <c r="T17" i="3"/>
  <c r="S17" i="3"/>
  <c r="R17" i="3"/>
  <c r="Q17" i="3"/>
  <c r="P17" i="3"/>
  <c r="O17" i="3"/>
  <c r="N17" i="3"/>
  <c r="M17" i="3"/>
  <c r="J17" i="3"/>
  <c r="K17" i="3"/>
  <c r="V17" i="3"/>
  <c r="W17" i="3"/>
  <c r="W22" i="3"/>
  <c r="X22" i="3"/>
  <c r="L22" i="3"/>
  <c r="U22" i="3"/>
  <c r="S22" i="3"/>
  <c r="Q22" i="3"/>
  <c r="O22" i="3"/>
  <c r="M22" i="3"/>
  <c r="J22" i="3"/>
  <c r="V22" i="3"/>
  <c r="Y22" i="3"/>
  <c r="T22" i="3"/>
  <c r="R22" i="3"/>
  <c r="P22" i="3"/>
  <c r="N22" i="3"/>
  <c r="K22" i="3"/>
  <c r="U8" i="3"/>
  <c r="Y8" i="3"/>
  <c r="T8" i="3"/>
  <c r="S8" i="3"/>
  <c r="R8" i="3"/>
  <c r="Q8" i="3"/>
  <c r="P8" i="3"/>
  <c r="O8" i="3"/>
  <c r="N8" i="3"/>
  <c r="M8" i="3"/>
  <c r="J8" i="3"/>
  <c r="K8" i="3"/>
  <c r="V8" i="3"/>
  <c r="W8" i="3"/>
  <c r="L8" i="3"/>
  <c r="X8" i="3"/>
  <c r="W18" i="3"/>
  <c r="X18" i="3"/>
  <c r="L18" i="3"/>
  <c r="V18" i="3"/>
  <c r="U18" i="3"/>
  <c r="J18" i="3"/>
  <c r="Y18" i="3"/>
  <c r="T18" i="3"/>
  <c r="R18" i="3"/>
  <c r="P18" i="3"/>
  <c r="N18" i="3"/>
  <c r="K18" i="3"/>
  <c r="S18" i="3"/>
  <c r="Q18" i="3"/>
  <c r="O18" i="3"/>
  <c r="M18" i="3"/>
  <c r="X5" i="3"/>
  <c r="L5" i="3"/>
  <c r="V5" i="3"/>
  <c r="U5" i="3"/>
  <c r="Y5" i="3"/>
  <c r="T5" i="3"/>
  <c r="S5" i="3"/>
  <c r="R5" i="3"/>
  <c r="Q5" i="3"/>
  <c r="P5" i="3"/>
  <c r="O5" i="3"/>
  <c r="N5" i="3"/>
  <c r="M5" i="3"/>
  <c r="J5" i="3"/>
  <c r="K5" i="3"/>
  <c r="W5" i="3"/>
  <c r="X21" i="3"/>
  <c r="L21" i="3"/>
  <c r="U21" i="3"/>
  <c r="Y21" i="3"/>
  <c r="T21" i="3"/>
  <c r="S21" i="3"/>
  <c r="R21" i="3"/>
  <c r="Q21" i="3"/>
  <c r="P21" i="3"/>
  <c r="O21" i="3"/>
  <c r="N21" i="3"/>
  <c r="M21" i="3"/>
  <c r="J21" i="3"/>
  <c r="K21" i="3"/>
  <c r="W21" i="3"/>
  <c r="V21" i="3"/>
  <c r="V15" i="3"/>
  <c r="W15" i="3"/>
  <c r="U15" i="3"/>
  <c r="T15" i="3"/>
  <c r="R15" i="3"/>
  <c r="P15" i="3"/>
  <c r="N15" i="3"/>
  <c r="K15" i="3"/>
  <c r="X15" i="3"/>
  <c r="Y15" i="3"/>
  <c r="S15" i="3"/>
  <c r="Q15" i="3"/>
  <c r="O15" i="3"/>
  <c r="M15" i="3"/>
  <c r="J15" i="3"/>
  <c r="L15" i="3"/>
</calcChain>
</file>

<file path=xl/sharedStrings.xml><?xml version="1.0" encoding="utf-8"?>
<sst xmlns="http://schemas.openxmlformats.org/spreadsheetml/2006/main" count="1381" uniqueCount="517">
  <si>
    <t>Order</t>
  </si>
  <si>
    <t>Feature/Function</t>
  </si>
  <si>
    <t>Register</t>
  </si>
  <si>
    <t>Field</t>
  </si>
  <si>
    <t>Header File Definition</t>
  </si>
  <si>
    <t>Value (Decimal)</t>
  </si>
  <si>
    <t>Notes</t>
  </si>
  <si>
    <t>CTL0</t>
  </si>
  <si>
    <t>UINT8</t>
  </si>
  <si>
    <t>MBS</t>
  </si>
  <si>
    <t>JOBE</t>
  </si>
  <si>
    <t>RXE</t>
  </si>
  <si>
    <t>TXE</t>
  </si>
  <si>
    <t>PWR</t>
  </si>
  <si>
    <t>STR0</t>
  </si>
  <si>
    <t>UINT32</t>
  </si>
  <si>
    <t>OVE</t>
  </si>
  <si>
    <t>PE</t>
  </si>
  <si>
    <t>DCE</t>
  </si>
  <si>
    <t>EMF</t>
  </si>
  <si>
    <t>FLF</t>
  </si>
  <si>
    <t>TSF</t>
  </si>
  <si>
    <t>HPST</t>
  </si>
  <si>
    <t>OFE</t>
  </si>
  <si>
    <t>TMOE</t>
  </si>
  <si>
    <t>SPF</t>
  </si>
  <si>
    <t>SRP</t>
  </si>
  <si>
    <t>STCR0</t>
  </si>
  <si>
    <t>UINT16</t>
  </si>
  <si>
    <t>OVEC</t>
  </si>
  <si>
    <t>PEC</t>
  </si>
  <si>
    <t>DCEC</t>
  </si>
  <si>
    <t>PCT</t>
  </si>
  <si>
    <t>OFEC</t>
  </si>
  <si>
    <t>TMOEC</t>
  </si>
  <si>
    <t>CTL1</t>
  </si>
  <si>
    <t>SSE</t>
  </si>
  <si>
    <t>HSE</t>
  </si>
  <si>
    <t>SIT</t>
  </si>
  <si>
    <t>LBM</t>
  </si>
  <si>
    <t>CSRI</t>
  </si>
  <si>
    <t>DCS</t>
  </si>
  <si>
    <t>JE</t>
  </si>
  <si>
    <t>EDLE</t>
  </si>
  <si>
    <t>CSL0</t>
  </si>
  <si>
    <t>CSL1</t>
  </si>
  <si>
    <t>CSL2</t>
  </si>
  <si>
    <t>CSL3</t>
  </si>
  <si>
    <t>CSL4</t>
  </si>
  <si>
    <t>CSL5</t>
  </si>
  <si>
    <t>CSL6</t>
  </si>
  <si>
    <t>CSL7</t>
  </si>
  <si>
    <t>SLIT</t>
  </si>
  <si>
    <t>CKR</t>
  </si>
  <si>
    <t>PHE</t>
  </si>
  <si>
    <t>CTL2</t>
  </si>
  <si>
    <t>PRS</t>
  </si>
  <si>
    <t>MCTL1</t>
  </si>
  <si>
    <t>FFS</t>
  </si>
  <si>
    <t>FES</t>
  </si>
  <si>
    <t>MCTL2</t>
  </si>
  <si>
    <t>SOP</t>
  </si>
  <si>
    <t>ND</t>
  </si>
  <si>
    <t>BTST</t>
  </si>
  <si>
    <t>TX0W</t>
  </si>
  <si>
    <t>TX</t>
  </si>
  <si>
    <t>CS0</t>
  </si>
  <si>
    <t>CS1</t>
  </si>
  <si>
    <t>CS2</t>
  </si>
  <si>
    <t>CS3</t>
  </si>
  <si>
    <t>CS4</t>
  </si>
  <si>
    <t>CS5</t>
  </si>
  <si>
    <t>CS6</t>
  </si>
  <si>
    <t>CS7</t>
  </si>
  <si>
    <t>EDL</t>
  </si>
  <si>
    <t>EOJ</t>
  </si>
  <si>
    <t>CIRE</t>
  </si>
  <si>
    <t>TX0H</t>
  </si>
  <si>
    <t>RX0W</t>
  </si>
  <si>
    <t>RX</t>
  </si>
  <si>
    <t>TDCE</t>
  </si>
  <si>
    <t>RPE</t>
  </si>
  <si>
    <t>RX0H</t>
  </si>
  <si>
    <t>MRWP0</t>
  </si>
  <si>
    <t>TRWA</t>
  </si>
  <si>
    <t>RRA</t>
  </si>
  <si>
    <t>MCTL0</t>
  </si>
  <si>
    <t>TO</t>
  </si>
  <si>
    <t>MMS</t>
  </si>
  <si>
    <t>CFG0</t>
  </si>
  <si>
    <t>SP0</t>
  </si>
  <si>
    <t>IN0</t>
  </si>
  <si>
    <t>HD0</t>
  </si>
  <si>
    <t>ID0</t>
  </si>
  <si>
    <t>IDL0</t>
  </si>
  <si>
    <t>DAP0</t>
  </si>
  <si>
    <t>CKP0</t>
  </si>
  <si>
    <t>DIR0</t>
  </si>
  <si>
    <t>RCB0</t>
  </si>
  <si>
    <t>DLS0</t>
  </si>
  <si>
    <t>PS0</t>
  </si>
  <si>
    <t>BRSS0</t>
  </si>
  <si>
    <t>CFG1</t>
  </si>
  <si>
    <t>CFG2</t>
  </si>
  <si>
    <t>SP2</t>
  </si>
  <si>
    <t>IN2</t>
  </si>
  <si>
    <t>HD2</t>
  </si>
  <si>
    <t>ID2</t>
  </si>
  <si>
    <t>IDL2</t>
  </si>
  <si>
    <t>DAP2</t>
  </si>
  <si>
    <t>CKP2</t>
  </si>
  <si>
    <t>DIR2</t>
  </si>
  <si>
    <t>RCB2</t>
  </si>
  <si>
    <t>DLS2</t>
  </si>
  <si>
    <t>PS2</t>
  </si>
  <si>
    <t>BRSS2</t>
  </si>
  <si>
    <t>CFG3</t>
  </si>
  <si>
    <t>SP3</t>
  </si>
  <si>
    <t>IN3</t>
  </si>
  <si>
    <t>HD3</t>
  </si>
  <si>
    <t>ID3</t>
  </si>
  <si>
    <t>IDL3</t>
  </si>
  <si>
    <t>DAP3</t>
  </si>
  <si>
    <t>CKP3</t>
  </si>
  <si>
    <t>DIR3</t>
  </si>
  <si>
    <t>RCB3</t>
  </si>
  <si>
    <t>DLS3</t>
  </si>
  <si>
    <t>PS3</t>
  </si>
  <si>
    <t>BRSS3</t>
  </si>
  <si>
    <t>CFG4</t>
  </si>
  <si>
    <t>CFG5</t>
  </si>
  <si>
    <t>SP5</t>
  </si>
  <si>
    <t>IN5</t>
  </si>
  <si>
    <t>HD5</t>
  </si>
  <si>
    <t>ID5</t>
  </si>
  <si>
    <t>IDL5</t>
  </si>
  <si>
    <t>DAP5</t>
  </si>
  <si>
    <t>CKP5</t>
  </si>
  <si>
    <t>DIR5</t>
  </si>
  <si>
    <t>RCB5</t>
  </si>
  <si>
    <t>DLS5</t>
  </si>
  <si>
    <t>PS5</t>
  </si>
  <si>
    <t>BRSS5</t>
  </si>
  <si>
    <t>CFG6</t>
  </si>
  <si>
    <t>SP6</t>
  </si>
  <si>
    <t>IN6</t>
  </si>
  <si>
    <t>HD6</t>
  </si>
  <si>
    <t>ID6</t>
  </si>
  <si>
    <t>IDL6</t>
  </si>
  <si>
    <t>DAP6</t>
  </si>
  <si>
    <t>CKP6</t>
  </si>
  <si>
    <t>DIR6</t>
  </si>
  <si>
    <t>RCB6</t>
  </si>
  <si>
    <t>DLS6</t>
  </si>
  <si>
    <t>PS6</t>
  </si>
  <si>
    <t>BRSS6</t>
  </si>
  <si>
    <t>CFG7</t>
  </si>
  <si>
    <t>SP7</t>
  </si>
  <si>
    <t>IN7</t>
  </si>
  <si>
    <t>HD7</t>
  </si>
  <si>
    <t>ID7</t>
  </si>
  <si>
    <t>IDL7</t>
  </si>
  <si>
    <t>DAP7</t>
  </si>
  <si>
    <t>CKP7</t>
  </si>
  <si>
    <t>DIR7</t>
  </si>
  <si>
    <t>RCB7</t>
  </si>
  <si>
    <t>DLS7</t>
  </si>
  <si>
    <t>PS7</t>
  </si>
  <si>
    <t>BRSS7</t>
  </si>
  <si>
    <t>BRS0</t>
  </si>
  <si>
    <t>BRS</t>
  </si>
  <si>
    <t>BRS1</t>
  </si>
  <si>
    <t>BRS2</t>
  </si>
  <si>
    <t>BRS3</t>
  </si>
  <si>
    <t>nR/W</t>
  </si>
  <si>
    <t>A5</t>
  </si>
  <si>
    <t>A4</t>
  </si>
  <si>
    <t>A3</t>
  </si>
  <si>
    <t>A2</t>
  </si>
  <si>
    <t>A1</t>
  </si>
  <si>
    <t>A0</t>
  </si>
  <si>
    <t>D7</t>
  </si>
  <si>
    <t>D6</t>
  </si>
  <si>
    <t>D5</t>
  </si>
  <si>
    <t>D4</t>
  </si>
  <si>
    <t>D3</t>
  </si>
  <si>
    <t>D2</t>
  </si>
  <si>
    <t>D1</t>
  </si>
  <si>
    <t>D0</t>
  </si>
  <si>
    <t>Description</t>
  </si>
  <si>
    <t>ReadTRN</t>
  </si>
  <si>
    <t>ReadERR</t>
  </si>
  <si>
    <t>ReadCTRL</t>
  </si>
  <si>
    <t>ReadANG</t>
  </si>
  <si>
    <t>WriteCtrl00</t>
  </si>
  <si>
    <t>WriteCtrl01</t>
  </si>
  <si>
    <t>WriteCtrl02</t>
  </si>
  <si>
    <t>WriteCtrl03</t>
  </si>
  <si>
    <t>WriteCtrl04</t>
  </si>
  <si>
    <t>WriteCtrl05</t>
  </si>
  <si>
    <t>WriteCtrl06</t>
  </si>
  <si>
    <t>WriteCtrl07</t>
  </si>
  <si>
    <t>WriteCtrl08</t>
  </si>
  <si>
    <t>WriteCtrl09</t>
  </si>
  <si>
    <t>WriteCtrl10</t>
  </si>
  <si>
    <t>WriteCtrl11</t>
  </si>
  <si>
    <t>WriteCtrl12</t>
  </si>
  <si>
    <t>WriteCtrl13</t>
  </si>
  <si>
    <t>WriteCtrl14</t>
  </si>
  <si>
    <t>WriteCtrl15</t>
  </si>
  <si>
    <t>Address</t>
  </si>
  <si>
    <t>Data</t>
  </si>
  <si>
    <t>TxData</t>
  </si>
  <si>
    <t>TxData
(Stored)</t>
  </si>
  <si>
    <t>Bit 0</t>
  </si>
  <si>
    <t>TxData
(Transmit Dec)</t>
  </si>
  <si>
    <t>TxData
(Transmit Hex)</t>
  </si>
  <si>
    <t>Controls the operation clock.
0: Stops operation clock.
1: Provides operation clock.</t>
  </si>
  <si>
    <t>Permits or prohibits transmission.
0: Prohibits transmission.
1: Permits transmission.</t>
  </si>
  <si>
    <t>Permits or prohibits reception.
0: Prohibits reception.
1: Permits reception</t>
  </si>
  <si>
    <t>Don't use Job Mode</t>
  </si>
  <si>
    <t>Read Only</t>
  </si>
  <si>
    <t>--</t>
  </si>
  <si>
    <t>Can be written at field or register level</t>
  </si>
  <si>
    <t>Clear error flag at init</t>
  </si>
  <si>
    <t>Don't Care
This bit can only be set in transmit-only buffer mode</t>
  </si>
  <si>
    <t>Chip select signal is active low</t>
  </si>
  <si>
    <t>don't care - this chip select is not used</t>
  </si>
  <si>
    <t>0: The default level of CSIHTSCK is high</t>
  </si>
  <si>
    <t>only write 16 bits
0: Disables extended data length mode.</t>
  </si>
  <si>
    <t>disable job mode</t>
  </si>
  <si>
    <t>disable data consistency check
*** need to verify if this is needed</t>
  </si>
  <si>
    <t>return chip select to inactive level</t>
  </si>
  <si>
    <t>disable loop back mode</t>
  </si>
  <si>
    <t>no interrupt delay</t>
  </si>
  <si>
    <t>disable handshake mode</t>
  </si>
  <si>
    <t>input signal SSI is ignored</t>
  </si>
  <si>
    <t>Written at field level</t>
  </si>
  <si>
    <t>don't care, only used for FIFO mode</t>
  </si>
  <si>
    <t>not written to at init, used to start transmission</t>
  </si>
  <si>
    <t>Config to write word 0</t>
  </si>
  <si>
    <t>TX0W Data</t>
  </si>
  <si>
    <t>not written to at init, register written at word level</t>
  </si>
  <si>
    <t>not used, use TX0W instead</t>
  </si>
  <si>
    <t>TxBuffer00</t>
  </si>
  <si>
    <t>TxBuffer01</t>
  </si>
  <si>
    <t>TxBuffer02</t>
  </si>
  <si>
    <t>TxBuffer03</t>
  </si>
  <si>
    <t>TxBuffer04</t>
  </si>
  <si>
    <t>TxBuffer05</t>
  </si>
  <si>
    <t>TxBuffer06</t>
  </si>
  <si>
    <t>TxBuffer07</t>
  </si>
  <si>
    <t>TxBuffer08</t>
  </si>
  <si>
    <t>TxBuffer09</t>
  </si>
  <si>
    <t>TxBuffer10</t>
  </si>
  <si>
    <t>TxBuffer11</t>
  </si>
  <si>
    <t>TxBuffer12</t>
  </si>
  <si>
    <t>TxBuffer13</t>
  </si>
  <si>
    <t>TxBuffer14</t>
  </si>
  <si>
    <t>TxBuffer15</t>
  </si>
  <si>
    <t>TxBuffer16</t>
  </si>
  <si>
    <t>TxBuffer17</t>
  </si>
  <si>
    <t>TxBuffer18</t>
  </si>
  <si>
    <t>TxBuffer19</t>
  </si>
  <si>
    <t>TxBuffer20</t>
  </si>
  <si>
    <t>TxBuffer21</t>
  </si>
  <si>
    <t>TxBuffer22</t>
  </si>
  <si>
    <t>TxBuffer23</t>
  </si>
  <si>
    <t>TxBuffer24</t>
  </si>
  <si>
    <t>TxBuffer25</t>
  </si>
  <si>
    <t>TxBuffer26</t>
  </si>
  <si>
    <t>TxBuffer27</t>
  </si>
  <si>
    <t>TxBuffer28</t>
  </si>
  <si>
    <t>TxBuffer29</t>
  </si>
  <si>
    <t>TxBuffer30</t>
  </si>
  <si>
    <t>TxBuffer31</t>
  </si>
  <si>
    <t>TxBuffer32</t>
  </si>
  <si>
    <t>TxBuffer33</t>
  </si>
  <si>
    <t>TxBuffer34</t>
  </si>
  <si>
    <t>TxBuffer35</t>
  </si>
  <si>
    <t>TxBuffer36</t>
  </si>
  <si>
    <t>TxBuffer37</t>
  </si>
  <si>
    <t>TxBuffer38</t>
  </si>
  <si>
    <t>TxBuffer39</t>
  </si>
  <si>
    <t>TxBuffer40</t>
  </si>
  <si>
    <t>TxBuffer41</t>
  </si>
  <si>
    <t>TxBuffer42</t>
  </si>
  <si>
    <t>TxBuffer43</t>
  </si>
  <si>
    <t>TxBuffer44</t>
  </si>
  <si>
    <t>TxBuffer45</t>
  </si>
  <si>
    <t>TxBuffer46</t>
  </si>
  <si>
    <t>TxBuffer47</t>
  </si>
  <si>
    <t>TxBuffer48</t>
  </si>
  <si>
    <t>TxBuffer49</t>
  </si>
  <si>
    <t>TxBuffer50</t>
  </si>
  <si>
    <t>TxBuffer51</t>
  </si>
  <si>
    <t>TxBuffer52</t>
  </si>
  <si>
    <t>TxBuffer53</t>
  </si>
  <si>
    <t>Invalid Data</t>
  </si>
  <si>
    <t>Written at register level</t>
  </si>
  <si>
    <t>Config to read word 0</t>
  </si>
  <si>
    <t>Register level access</t>
  </si>
  <si>
    <t>01</t>
  </si>
  <si>
    <t>Dual buffer mode</t>
  </si>
  <si>
    <t>0000</t>
  </si>
  <si>
    <t>0.5 transmission clock setup time</t>
  </si>
  <si>
    <t>0.0 transmission clock inter-data timer</t>
  </si>
  <si>
    <t>0.5 transmission clock hold time</t>
  </si>
  <si>
    <t>000</t>
  </si>
  <si>
    <t>0.5 transmission clock idle time</t>
  </si>
  <si>
    <t>insert idle state between 2 transfers</t>
  </si>
  <si>
    <t>data phase</t>
  </si>
  <si>
    <t>clock phase</t>
  </si>
  <si>
    <t>transmit MSB first</t>
  </si>
  <si>
    <t>0</t>
  </si>
  <si>
    <t>1111</t>
  </si>
  <si>
    <t>Data length = 15bits, 16th bit comes from parity</t>
  </si>
  <si>
    <t>10</t>
  </si>
  <si>
    <t>adds odd parity</t>
  </si>
  <si>
    <t>00</t>
  </si>
  <si>
    <t>Transfer clock is set from BRS0</t>
  </si>
  <si>
    <t>1</t>
  </si>
  <si>
    <t>k = 1
(alpha = 2, Clock = 80 MHz/(2^alpha*k*2) = 10MHz)</t>
  </si>
  <si>
    <t>alpha = 2
(k = 1, Clock = 80 MHz/(2^alpha*k*2) = 10MHz)</t>
  </si>
  <si>
    <t>not written to at init, chip select not used</t>
  </si>
  <si>
    <t>not written to at init, baud rate setting not used</t>
  </si>
  <si>
    <r>
      <rPr>
        <sz val="11"/>
        <color rgb="FF0070C0"/>
        <rFont val="Calibri"/>
        <family val="2"/>
        <scheme val="minor"/>
      </rPr>
      <t>Use CSIH in dual buffer mode</t>
    </r>
    <r>
      <rPr>
        <sz val="11"/>
        <color theme="1"/>
        <rFont val="Calibri"/>
        <family val="2"/>
        <scheme val="minor"/>
      </rPr>
      <t xml:space="preserve">
0: Memory mode CSIH memory is used for transmission and/or reception data.</t>
    </r>
  </si>
  <si>
    <t>Recessive configuration = dominant</t>
  </si>
  <si>
    <t>Chip Selects</t>
  </si>
  <si>
    <t>CSIH3MBS</t>
  </si>
  <si>
    <t>CSIH3CTL0</t>
  </si>
  <si>
    <t>CSIH3JOBE</t>
  </si>
  <si>
    <t>CSIH3RXE</t>
  </si>
  <si>
    <t>CSIH3TXE</t>
  </si>
  <si>
    <t>CSIH3PWR</t>
  </si>
  <si>
    <t>CSIH3STCR0</t>
  </si>
  <si>
    <t>CSIH3OVEC</t>
  </si>
  <si>
    <t>CSIH3PEC</t>
  </si>
  <si>
    <t>CSIH3DCEC</t>
  </si>
  <si>
    <t>CSIH3PCT</t>
  </si>
  <si>
    <t>CSIH3OFEC</t>
  </si>
  <si>
    <t>CSIH3TMOEC</t>
  </si>
  <si>
    <t>CSIH3CTL1</t>
  </si>
  <si>
    <t>CSIH3SSE</t>
  </si>
  <si>
    <t>CSIH3HSE</t>
  </si>
  <si>
    <t>CSIH3SIT</t>
  </si>
  <si>
    <t>CSIH3LBM</t>
  </si>
  <si>
    <t>CSIH3CSRI</t>
  </si>
  <si>
    <t>CSIH3DCS</t>
  </si>
  <si>
    <t>CSIH3JE</t>
  </si>
  <si>
    <t>CSIH3EDLE</t>
  </si>
  <si>
    <t>CSIH3CSL0</t>
  </si>
  <si>
    <t>CSIH3CSL1</t>
  </si>
  <si>
    <t>CSIH3CSL2</t>
  </si>
  <si>
    <t>CSIH3CSL3</t>
  </si>
  <si>
    <t>CSIH3CSL4</t>
  </si>
  <si>
    <t>CSIH3CSL5</t>
  </si>
  <si>
    <t>CSIH3CSL6</t>
  </si>
  <si>
    <t>CSIH3CSL7</t>
  </si>
  <si>
    <t>CSIH3SLIT</t>
  </si>
  <si>
    <t>CSIH3CKR</t>
  </si>
  <si>
    <t>CSIH3PHE</t>
  </si>
  <si>
    <t>CSIH3CTL2</t>
  </si>
  <si>
    <t>CSIH3PRS</t>
  </si>
  <si>
    <t>CSIH3MCTL0</t>
  </si>
  <si>
    <t>CSIH3TO</t>
  </si>
  <si>
    <t>CSIH3MMS</t>
  </si>
  <si>
    <t>CSIH3MCTL1</t>
  </si>
  <si>
    <t>CSIH3FFS</t>
  </si>
  <si>
    <t>CSIH3FES</t>
  </si>
  <si>
    <t>CSIH3CFG0</t>
  </si>
  <si>
    <t>CSIH3SP0</t>
  </si>
  <si>
    <t>CSIH3IN0</t>
  </si>
  <si>
    <t>CSIH3HD0</t>
  </si>
  <si>
    <t>CSIH3ID0</t>
  </si>
  <si>
    <t>CSIH3IDL0</t>
  </si>
  <si>
    <t>CSIH3DAP0</t>
  </si>
  <si>
    <t>CSIH3CKP0</t>
  </si>
  <si>
    <t>CSIH3DIR0</t>
  </si>
  <si>
    <t>CSIH3RCB0</t>
  </si>
  <si>
    <t>CSIH3DLS0</t>
  </si>
  <si>
    <t>CSIH3PS0</t>
  </si>
  <si>
    <t>CSIH3BRSS0</t>
  </si>
  <si>
    <t>CSIH3CFG1</t>
  </si>
  <si>
    <t>CSIH3SP1</t>
  </si>
  <si>
    <t>CSIH3IN1</t>
  </si>
  <si>
    <t>CSIH3HD1</t>
  </si>
  <si>
    <t>CSIH3ID1</t>
  </si>
  <si>
    <t>CSIH3IDL1</t>
  </si>
  <si>
    <t>CSIH3DAP1</t>
  </si>
  <si>
    <t>CSIH3CKP1</t>
  </si>
  <si>
    <t>CSIH3DIR1</t>
  </si>
  <si>
    <t>CSIH3RCB1</t>
  </si>
  <si>
    <t>CSIH3DLS1</t>
  </si>
  <si>
    <t>CSIH3PS1</t>
  </si>
  <si>
    <t>CSIH3BRSS1</t>
  </si>
  <si>
    <t>CSIH3BRS0</t>
  </si>
  <si>
    <t>CSIH3BRS</t>
  </si>
  <si>
    <t>CSIH3MRWP0</t>
  </si>
  <si>
    <t>CSIH3TRWA</t>
  </si>
  <si>
    <t>CSIH3RRA</t>
  </si>
  <si>
    <t>CSIH3TX0W</t>
  </si>
  <si>
    <t>CSIH3STR0</t>
  </si>
  <si>
    <t>CSIH3OVE</t>
  </si>
  <si>
    <t>CSIH3PE</t>
  </si>
  <si>
    <t>CSIH3DCE</t>
  </si>
  <si>
    <t>CSIH3EMF</t>
  </si>
  <si>
    <t>CSIH3FLF</t>
  </si>
  <si>
    <t>CSIH3TSF</t>
  </si>
  <si>
    <t>CSIH3HPST</t>
  </si>
  <si>
    <t>CSIH3OFE</t>
  </si>
  <si>
    <t>CSIH3TMOE</t>
  </si>
  <si>
    <t>CSIH3SPF</t>
  </si>
  <si>
    <t>CSIH3SRP</t>
  </si>
  <si>
    <t>CSIH3RX0W</t>
  </si>
  <si>
    <t>CSIH3RX</t>
  </si>
  <si>
    <t>CSIH3TDCE</t>
  </si>
  <si>
    <t>CSIH3RPE</t>
  </si>
  <si>
    <t>CSIH3RX0H</t>
  </si>
  <si>
    <t>CSIH3MCTL2</t>
  </si>
  <si>
    <t>CSIH3SOP</t>
  </si>
  <si>
    <t>CSIH3ND</t>
  </si>
  <si>
    <t>CSIH3BTST</t>
  </si>
  <si>
    <t>CSIH3TX</t>
  </si>
  <si>
    <t>CSIH3CS0</t>
  </si>
  <si>
    <t>CSIH3CS1</t>
  </si>
  <si>
    <t>CSIH3CS2</t>
  </si>
  <si>
    <t>CSIH3CS3</t>
  </si>
  <si>
    <t>CSIH3CS4</t>
  </si>
  <si>
    <t>CSIH3CS5</t>
  </si>
  <si>
    <t>CSIH3CS6</t>
  </si>
  <si>
    <t>CSIH3CS7</t>
  </si>
  <si>
    <t>CSIH3EDL</t>
  </si>
  <si>
    <t>CSIH3EOJ</t>
  </si>
  <si>
    <t>CSIH3CIRE</t>
  </si>
  <si>
    <t>CSIH3TX0H</t>
  </si>
  <si>
    <t>CSIH3CFG2</t>
  </si>
  <si>
    <t>CSIH3SP2</t>
  </si>
  <si>
    <t>CSIH3IN2</t>
  </si>
  <si>
    <t>CSIH3HD2</t>
  </si>
  <si>
    <t>CSIH3ID2</t>
  </si>
  <si>
    <t>CSIH3IDL2</t>
  </si>
  <si>
    <t>CSIH3DAP2</t>
  </si>
  <si>
    <t>CSIH3CKP2</t>
  </si>
  <si>
    <t>CSIH3DIR2</t>
  </si>
  <si>
    <t>CSIH3RCB2</t>
  </si>
  <si>
    <t>CSIH3DLS2</t>
  </si>
  <si>
    <t>CSIH3PS2</t>
  </si>
  <si>
    <t>CSIH3BRSS2</t>
  </si>
  <si>
    <t>CSIH3CFG3</t>
  </si>
  <si>
    <t>CSIH3SP3</t>
  </si>
  <si>
    <t>CSIH3IN3</t>
  </si>
  <si>
    <t>CSIH3HD3</t>
  </si>
  <si>
    <t>CSIH3ID3</t>
  </si>
  <si>
    <t>CSIH3IDL3</t>
  </si>
  <si>
    <t>CSIH3DAP3</t>
  </si>
  <si>
    <t>CSIH3CKP3</t>
  </si>
  <si>
    <t>CSIH3DIR3</t>
  </si>
  <si>
    <t>CSIH3RCB3</t>
  </si>
  <si>
    <t>CSIH3DLS3</t>
  </si>
  <si>
    <t>CSIH3PS3</t>
  </si>
  <si>
    <t>CSIH3BRSS3</t>
  </si>
  <si>
    <t>CSIH3CFG4</t>
  </si>
  <si>
    <t>CSIH3SP4</t>
  </si>
  <si>
    <t>CSIH3IN4</t>
  </si>
  <si>
    <t>CSIH3HD4</t>
  </si>
  <si>
    <t>CSIH3ID4</t>
  </si>
  <si>
    <t>CSIH3IDL4</t>
  </si>
  <si>
    <t>CSIH3DAP4</t>
  </si>
  <si>
    <t>CSIH3CKP4</t>
  </si>
  <si>
    <t>CSIH3DIR4</t>
  </si>
  <si>
    <t>CSIH3RCB4</t>
  </si>
  <si>
    <t>CSIH3DLS4</t>
  </si>
  <si>
    <t>CSIH3PS4</t>
  </si>
  <si>
    <t>CSIH3BRSS4</t>
  </si>
  <si>
    <t>CSIH3CFG5</t>
  </si>
  <si>
    <t>CSIH3SP5</t>
  </si>
  <si>
    <t>CSIH3IN5</t>
  </si>
  <si>
    <t>CSIH3HD5</t>
  </si>
  <si>
    <t>CSIH3ID5</t>
  </si>
  <si>
    <t>CSIH3IDL5</t>
  </si>
  <si>
    <t>CSIH3DAP5</t>
  </si>
  <si>
    <t>CSIH3CKP5</t>
  </si>
  <si>
    <t>CSIH3DIR5</t>
  </si>
  <si>
    <t>CSIH3RCB5</t>
  </si>
  <si>
    <t>CSIH3DLS5</t>
  </si>
  <si>
    <t>CSIH3PS5</t>
  </si>
  <si>
    <t>CSIH3BRSS5</t>
  </si>
  <si>
    <t>CSIH3CFG6</t>
  </si>
  <si>
    <t>CSIH3SP6</t>
  </si>
  <si>
    <t>CSIH3IN6</t>
  </si>
  <si>
    <t>CSIH3HD6</t>
  </si>
  <si>
    <t>CSIH3ID6</t>
  </si>
  <si>
    <t>CSIH3IDL6</t>
  </si>
  <si>
    <t>CSIH3DAP6</t>
  </si>
  <si>
    <t>CSIH3CKP6</t>
  </si>
  <si>
    <t>CSIH3DIR6</t>
  </si>
  <si>
    <t>CSIH3RCB6</t>
  </si>
  <si>
    <t>CSIH3DLS6</t>
  </si>
  <si>
    <t>CSIH3PS6</t>
  </si>
  <si>
    <t>CSIH3BRSS6</t>
  </si>
  <si>
    <t>CSIH3CFG7</t>
  </si>
  <si>
    <t>CSIH3SP7</t>
  </si>
  <si>
    <t>CSIH3IN7</t>
  </si>
  <si>
    <t>CSIH3HD7</t>
  </si>
  <si>
    <t>CSIH3ID7</t>
  </si>
  <si>
    <t>CSIH3IDL7</t>
  </si>
  <si>
    <t>CSIH3DAP7</t>
  </si>
  <si>
    <t>CSIH3CKP7</t>
  </si>
  <si>
    <t>CSIH3DIR7</t>
  </si>
  <si>
    <t>CSIH3RCB7</t>
  </si>
  <si>
    <t>CSIH3DLS7</t>
  </si>
  <si>
    <t>CSIH3PS7</t>
  </si>
  <si>
    <t>CSIH3BRSS7</t>
  </si>
  <si>
    <t>CSIH3BRS1</t>
  </si>
  <si>
    <t>CSIH3BRS2</t>
  </si>
  <si>
    <t>CSIH3BRS3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</si>
</sst>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112059</xdr:colOff>
      <xdr:row>22</xdr:row>
      <xdr:rowOff>112059</xdr:rowOff>
    </xdr:from>
    <xdr:to>
      <xdr:col>21</xdr:col>
      <xdr:colOff>537882</xdr:colOff>
      <xdr:row>28</xdr:row>
      <xdr:rowOff>33619</xdr:rowOff>
    </xdr:to>
    <xdr:sp macro="" textlink="">
      <xdr:nvSpPr>
        <xdr:cNvPr id="2" name="TextBox 1"/>
        <xdr:cNvSpPr txBox="1"/>
      </xdr:nvSpPr>
      <xdr:spPr>
        <a:xfrm>
          <a:off x="10802471" y="4493559"/>
          <a:ext cx="3451411" cy="10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Activates one or several chip select signals.</a:t>
          </a:r>
        </a:p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0: Activates chip select signal x for the associated transmission.</a:t>
          </a:r>
        </a:p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1: Deactivates chip select signal x for the associated transmission.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4"/>
  <sheetViews>
    <sheetView tabSelected="1" zoomScale="70" zoomScaleNormal="70" workbookViewId="0">
      <pane ySplit="2" topLeftCell="A21" activePane="bottomLeft" state="frozen"/>
      <selection pane="bottomLeft" activeCell="F37" sqref="F37"/>
    </sheetView>
  </sheetViews>
  <sheetFormatPr defaultRowHeight="14.4" x14ac:dyDescent="0.3"/>
  <cols>
    <col min="1" max="1" width="5.5546875" bestFit="1" customWidth="1"/>
    <col min="2" max="2" width="20.88671875" bestFit="1" customWidth="1"/>
    <col min="3" max="3" width="16.33203125" bestFit="1" customWidth="1"/>
    <col min="4" max="4" width="20.33203125" customWidth="1"/>
    <col min="5" max="5" width="19.6640625" customWidth="1"/>
    <col min="6" max="6" width="14.33203125" style="7" bestFit="1" customWidth="1"/>
    <col min="7" max="7" width="51" customWidth="1"/>
    <col min="8" max="8" width="36" bestFit="1" customWidth="1"/>
    <col min="13" max="13" width="13.5546875" bestFit="1" customWidth="1"/>
  </cols>
  <sheetData>
    <row r="1" spans="1:10" ht="1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10" t="s">
        <v>5</v>
      </c>
      <c r="G1" s="2" t="s">
        <v>6</v>
      </c>
      <c r="H1" s="2"/>
      <c r="J1" s="2"/>
    </row>
    <row r="3" spans="1:10" ht="15" x14ac:dyDescent="0.25">
      <c r="A3">
        <v>0</v>
      </c>
      <c r="C3" t="s">
        <v>7</v>
      </c>
      <c r="D3" t="s">
        <v>8</v>
      </c>
      <c r="E3" t="s">
        <v>330</v>
      </c>
      <c r="F3" s="11" t="s">
        <v>222</v>
      </c>
      <c r="G3" t="s">
        <v>301</v>
      </c>
      <c r="H3" t="s">
        <v>223</v>
      </c>
    </row>
    <row r="4" spans="1:10" ht="45" x14ac:dyDescent="0.25">
      <c r="A4">
        <v>1</v>
      </c>
      <c r="C4" t="s">
        <v>7</v>
      </c>
      <c r="D4" t="s">
        <v>9</v>
      </c>
      <c r="E4" t="s">
        <v>329</v>
      </c>
      <c r="F4" s="7">
        <v>0</v>
      </c>
      <c r="G4" s="5" t="s">
        <v>326</v>
      </c>
      <c r="H4" t="s">
        <v>223</v>
      </c>
    </row>
    <row r="5" spans="1:10" ht="15" x14ac:dyDescent="0.25">
      <c r="A5">
        <v>2</v>
      </c>
      <c r="C5" t="s">
        <v>7</v>
      </c>
      <c r="D5" t="s">
        <v>10</v>
      </c>
      <c r="E5" t="s">
        <v>331</v>
      </c>
      <c r="F5" s="7">
        <v>0</v>
      </c>
      <c r="G5" t="s">
        <v>220</v>
      </c>
      <c r="H5" t="s">
        <v>223</v>
      </c>
    </row>
    <row r="6" spans="1:10" ht="45" x14ac:dyDescent="0.25">
      <c r="A6">
        <v>3</v>
      </c>
      <c r="C6" t="s">
        <v>7</v>
      </c>
      <c r="D6" t="s">
        <v>11</v>
      </c>
      <c r="E6" t="s">
        <v>332</v>
      </c>
      <c r="F6" s="7">
        <v>1</v>
      </c>
      <c r="G6" s="5" t="s">
        <v>219</v>
      </c>
      <c r="H6" t="s">
        <v>223</v>
      </c>
    </row>
    <row r="7" spans="1:10" ht="60" x14ac:dyDescent="0.25">
      <c r="A7">
        <v>4</v>
      </c>
      <c r="C7" t="s">
        <v>7</v>
      </c>
      <c r="D7" t="s">
        <v>12</v>
      </c>
      <c r="E7" t="s">
        <v>333</v>
      </c>
      <c r="F7" s="7">
        <v>1</v>
      </c>
      <c r="G7" s="5" t="s">
        <v>218</v>
      </c>
      <c r="H7" t="s">
        <v>223</v>
      </c>
    </row>
    <row r="8" spans="1:10" ht="45" x14ac:dyDescent="0.25">
      <c r="A8">
        <v>5</v>
      </c>
      <c r="C8" t="s">
        <v>7</v>
      </c>
      <c r="D8" t="s">
        <v>13</v>
      </c>
      <c r="E8" t="s">
        <v>334</v>
      </c>
      <c r="F8" s="7">
        <v>0</v>
      </c>
      <c r="G8" s="5" t="s">
        <v>217</v>
      </c>
      <c r="H8" t="s">
        <v>223</v>
      </c>
    </row>
    <row r="9" spans="1:10" ht="15" x14ac:dyDescent="0.25">
      <c r="A9">
        <v>6</v>
      </c>
      <c r="C9" t="s">
        <v>27</v>
      </c>
      <c r="D9" t="s">
        <v>28</v>
      </c>
      <c r="E9" t="s">
        <v>335</v>
      </c>
      <c r="F9" s="11" t="s">
        <v>222</v>
      </c>
      <c r="G9" t="s">
        <v>301</v>
      </c>
      <c r="H9" t="s">
        <v>223</v>
      </c>
    </row>
    <row r="10" spans="1:10" ht="15" x14ac:dyDescent="0.25">
      <c r="A10">
        <v>7</v>
      </c>
      <c r="C10" t="s">
        <v>27</v>
      </c>
      <c r="D10" t="s">
        <v>29</v>
      </c>
      <c r="E10" t="s">
        <v>336</v>
      </c>
      <c r="F10" s="7">
        <v>1</v>
      </c>
      <c r="G10" s="5" t="s">
        <v>224</v>
      </c>
      <c r="H10" t="s">
        <v>223</v>
      </c>
    </row>
    <row r="11" spans="1:10" ht="15" x14ac:dyDescent="0.25">
      <c r="A11">
        <v>8</v>
      </c>
      <c r="C11" t="s">
        <v>27</v>
      </c>
      <c r="D11" t="s">
        <v>30</v>
      </c>
      <c r="E11" t="s">
        <v>337</v>
      </c>
      <c r="F11" s="7">
        <v>1</v>
      </c>
      <c r="G11" s="5" t="s">
        <v>224</v>
      </c>
      <c r="H11" t="s">
        <v>223</v>
      </c>
    </row>
    <row r="12" spans="1:10" ht="15" x14ac:dyDescent="0.25">
      <c r="A12">
        <v>9</v>
      </c>
      <c r="C12" t="s">
        <v>27</v>
      </c>
      <c r="D12" t="s">
        <v>31</v>
      </c>
      <c r="E12" t="s">
        <v>338</v>
      </c>
      <c r="F12" s="7">
        <v>1</v>
      </c>
      <c r="G12" s="5" t="s">
        <v>224</v>
      </c>
      <c r="H12" t="s">
        <v>223</v>
      </c>
    </row>
    <row r="13" spans="1:10" ht="15" x14ac:dyDescent="0.25">
      <c r="A13">
        <v>10</v>
      </c>
      <c r="C13" t="s">
        <v>27</v>
      </c>
      <c r="D13" t="s">
        <v>32</v>
      </c>
      <c r="E13" t="s">
        <v>339</v>
      </c>
      <c r="F13" s="7">
        <v>1</v>
      </c>
      <c r="G13" s="5" t="s">
        <v>224</v>
      </c>
      <c r="H13" t="s">
        <v>223</v>
      </c>
    </row>
    <row r="14" spans="1:10" ht="15" x14ac:dyDescent="0.25">
      <c r="A14">
        <v>11</v>
      </c>
      <c r="C14" t="s">
        <v>27</v>
      </c>
      <c r="D14" t="s">
        <v>33</v>
      </c>
      <c r="E14" t="s">
        <v>340</v>
      </c>
      <c r="F14" s="7">
        <v>1</v>
      </c>
      <c r="G14" s="5" t="s">
        <v>224</v>
      </c>
      <c r="H14" t="s">
        <v>223</v>
      </c>
    </row>
    <row r="15" spans="1:10" ht="15" x14ac:dyDescent="0.25">
      <c r="A15">
        <v>12</v>
      </c>
      <c r="C15" t="s">
        <v>27</v>
      </c>
      <c r="D15" t="s">
        <v>34</v>
      </c>
      <c r="E15" t="s">
        <v>341</v>
      </c>
      <c r="F15" s="7">
        <v>1</v>
      </c>
      <c r="G15" s="5" t="s">
        <v>224</v>
      </c>
      <c r="H15" t="s">
        <v>223</v>
      </c>
    </row>
    <row r="16" spans="1:10" ht="15" x14ac:dyDescent="0.25">
      <c r="A16">
        <v>13</v>
      </c>
      <c r="C16" t="s">
        <v>35</v>
      </c>
      <c r="D16" t="s">
        <v>15</v>
      </c>
      <c r="E16" t="s">
        <v>342</v>
      </c>
      <c r="F16" s="11" t="s">
        <v>222</v>
      </c>
      <c r="G16" t="s">
        <v>301</v>
      </c>
      <c r="H16" t="s">
        <v>223</v>
      </c>
    </row>
    <row r="17" spans="1:8" ht="15" x14ac:dyDescent="0.25">
      <c r="A17">
        <v>14</v>
      </c>
      <c r="C17" t="s">
        <v>35</v>
      </c>
      <c r="D17" t="s">
        <v>36</v>
      </c>
      <c r="E17" t="s">
        <v>343</v>
      </c>
      <c r="F17" s="7">
        <v>0</v>
      </c>
      <c r="G17" t="s">
        <v>236</v>
      </c>
      <c r="H17" t="s">
        <v>223</v>
      </c>
    </row>
    <row r="18" spans="1:8" ht="15" x14ac:dyDescent="0.25">
      <c r="A18">
        <v>15</v>
      </c>
      <c r="C18" t="s">
        <v>35</v>
      </c>
      <c r="D18" t="s">
        <v>37</v>
      </c>
      <c r="E18" t="s">
        <v>344</v>
      </c>
      <c r="F18" s="7">
        <v>0</v>
      </c>
      <c r="G18" t="s">
        <v>235</v>
      </c>
      <c r="H18" t="s">
        <v>223</v>
      </c>
    </row>
    <row r="19" spans="1:8" ht="15" x14ac:dyDescent="0.25">
      <c r="A19">
        <v>16</v>
      </c>
      <c r="C19" t="s">
        <v>35</v>
      </c>
      <c r="D19" t="s">
        <v>38</v>
      </c>
      <c r="E19" t="s">
        <v>345</v>
      </c>
      <c r="F19" s="7">
        <v>0</v>
      </c>
      <c r="G19" t="s">
        <v>234</v>
      </c>
      <c r="H19" t="s">
        <v>223</v>
      </c>
    </row>
    <row r="20" spans="1:8" ht="15" x14ac:dyDescent="0.25">
      <c r="A20">
        <v>17</v>
      </c>
      <c r="C20" t="s">
        <v>35</v>
      </c>
      <c r="D20" t="s">
        <v>39</v>
      </c>
      <c r="E20" t="s">
        <v>346</v>
      </c>
      <c r="F20" s="7">
        <v>0</v>
      </c>
      <c r="G20" t="s">
        <v>233</v>
      </c>
      <c r="H20" t="s">
        <v>223</v>
      </c>
    </row>
    <row r="21" spans="1:8" ht="15" x14ac:dyDescent="0.25">
      <c r="A21">
        <v>18</v>
      </c>
      <c r="C21" t="s">
        <v>35</v>
      </c>
      <c r="D21" t="s">
        <v>40</v>
      </c>
      <c r="E21" t="s">
        <v>347</v>
      </c>
      <c r="F21" s="7">
        <v>1</v>
      </c>
      <c r="G21" t="s">
        <v>232</v>
      </c>
      <c r="H21" t="s">
        <v>223</v>
      </c>
    </row>
    <row r="22" spans="1:8" ht="30" x14ac:dyDescent="0.25">
      <c r="A22">
        <v>19</v>
      </c>
      <c r="C22" t="s">
        <v>35</v>
      </c>
      <c r="D22" t="s">
        <v>41</v>
      </c>
      <c r="E22" t="s">
        <v>348</v>
      </c>
      <c r="F22" s="7">
        <v>0</v>
      </c>
      <c r="G22" s="5" t="s">
        <v>231</v>
      </c>
      <c r="H22" t="s">
        <v>223</v>
      </c>
    </row>
    <row r="23" spans="1:8" ht="15" x14ac:dyDescent="0.25">
      <c r="A23">
        <v>20</v>
      </c>
      <c r="C23" t="s">
        <v>35</v>
      </c>
      <c r="D23" t="s">
        <v>42</v>
      </c>
      <c r="E23" t="s">
        <v>349</v>
      </c>
      <c r="F23" s="7">
        <v>0</v>
      </c>
      <c r="G23" t="s">
        <v>230</v>
      </c>
      <c r="H23" t="s">
        <v>223</v>
      </c>
    </row>
    <row r="24" spans="1:8" ht="30" x14ac:dyDescent="0.25">
      <c r="A24">
        <v>21</v>
      </c>
      <c r="C24" t="s">
        <v>35</v>
      </c>
      <c r="D24" t="s">
        <v>43</v>
      </c>
      <c r="E24" t="s">
        <v>350</v>
      </c>
      <c r="F24" s="7">
        <v>0</v>
      </c>
      <c r="G24" s="5" t="s">
        <v>229</v>
      </c>
      <c r="H24" t="s">
        <v>223</v>
      </c>
    </row>
    <row r="25" spans="1:8" ht="15" x14ac:dyDescent="0.25">
      <c r="A25">
        <v>22</v>
      </c>
      <c r="C25" t="s">
        <v>35</v>
      </c>
      <c r="D25" t="s">
        <v>44</v>
      </c>
      <c r="E25" t="s">
        <v>351</v>
      </c>
      <c r="F25" s="7">
        <v>0</v>
      </c>
      <c r="G25" t="s">
        <v>226</v>
      </c>
      <c r="H25" t="s">
        <v>223</v>
      </c>
    </row>
    <row r="26" spans="1:8" ht="15" x14ac:dyDescent="0.25">
      <c r="A26">
        <v>23</v>
      </c>
      <c r="C26" t="s">
        <v>35</v>
      </c>
      <c r="D26" t="s">
        <v>45</v>
      </c>
      <c r="E26" t="s">
        <v>352</v>
      </c>
      <c r="F26" s="7">
        <v>0</v>
      </c>
      <c r="G26" t="s">
        <v>226</v>
      </c>
      <c r="H26" t="s">
        <v>223</v>
      </c>
    </row>
    <row r="27" spans="1:8" ht="15" x14ac:dyDescent="0.25">
      <c r="A27">
        <v>24</v>
      </c>
      <c r="C27" t="s">
        <v>35</v>
      </c>
      <c r="D27" t="s">
        <v>46</v>
      </c>
      <c r="E27" t="s">
        <v>353</v>
      </c>
      <c r="F27" s="7">
        <v>0</v>
      </c>
      <c r="G27" t="s">
        <v>227</v>
      </c>
      <c r="H27" t="s">
        <v>223</v>
      </c>
    </row>
    <row r="28" spans="1:8" ht="15" x14ac:dyDescent="0.25">
      <c r="A28">
        <v>25</v>
      </c>
      <c r="C28" t="s">
        <v>35</v>
      </c>
      <c r="D28" t="s">
        <v>47</v>
      </c>
      <c r="E28" t="s">
        <v>354</v>
      </c>
      <c r="F28" s="7">
        <v>0</v>
      </c>
      <c r="G28" t="s">
        <v>227</v>
      </c>
      <c r="H28" t="s">
        <v>223</v>
      </c>
    </row>
    <row r="29" spans="1:8" ht="15" x14ac:dyDescent="0.25">
      <c r="A29">
        <v>26</v>
      </c>
      <c r="C29" t="s">
        <v>35</v>
      </c>
      <c r="D29" t="s">
        <v>48</v>
      </c>
      <c r="E29" t="s">
        <v>355</v>
      </c>
      <c r="F29" s="7">
        <v>0</v>
      </c>
      <c r="G29" t="s">
        <v>227</v>
      </c>
      <c r="H29" t="s">
        <v>223</v>
      </c>
    </row>
    <row r="30" spans="1:8" ht="15" x14ac:dyDescent="0.25">
      <c r="A30">
        <v>27</v>
      </c>
      <c r="C30" t="s">
        <v>35</v>
      </c>
      <c r="D30" t="s">
        <v>49</v>
      </c>
      <c r="E30" t="s">
        <v>356</v>
      </c>
      <c r="F30" s="7">
        <v>0</v>
      </c>
      <c r="G30" t="s">
        <v>227</v>
      </c>
      <c r="H30" t="s">
        <v>223</v>
      </c>
    </row>
    <row r="31" spans="1:8" ht="15" x14ac:dyDescent="0.25">
      <c r="A31">
        <v>28</v>
      </c>
      <c r="C31" t="s">
        <v>35</v>
      </c>
      <c r="D31" t="s">
        <v>50</v>
      </c>
      <c r="E31" t="s">
        <v>357</v>
      </c>
      <c r="F31" s="7">
        <v>0</v>
      </c>
      <c r="G31" t="s">
        <v>227</v>
      </c>
      <c r="H31" t="s">
        <v>223</v>
      </c>
    </row>
    <row r="32" spans="1:8" ht="15" x14ac:dyDescent="0.25">
      <c r="A32">
        <v>29</v>
      </c>
      <c r="C32" t="s">
        <v>35</v>
      </c>
      <c r="D32" t="s">
        <v>51</v>
      </c>
      <c r="E32" t="s">
        <v>358</v>
      </c>
      <c r="F32" s="7">
        <v>0</v>
      </c>
      <c r="G32" t="s">
        <v>227</v>
      </c>
      <c r="H32" t="s">
        <v>223</v>
      </c>
    </row>
    <row r="33" spans="1:8" ht="45" x14ac:dyDescent="0.25">
      <c r="A33">
        <v>30</v>
      </c>
      <c r="C33" t="s">
        <v>35</v>
      </c>
      <c r="D33" t="s">
        <v>52</v>
      </c>
      <c r="E33" t="s">
        <v>359</v>
      </c>
      <c r="F33" s="7">
        <v>0</v>
      </c>
      <c r="G33" s="12" t="s">
        <v>225</v>
      </c>
      <c r="H33" t="s">
        <v>223</v>
      </c>
    </row>
    <row r="34" spans="1:8" ht="15" x14ac:dyDescent="0.25">
      <c r="A34">
        <v>31</v>
      </c>
      <c r="C34" t="s">
        <v>35</v>
      </c>
      <c r="D34" t="s">
        <v>53</v>
      </c>
      <c r="E34" t="s">
        <v>360</v>
      </c>
      <c r="F34" s="7">
        <v>0</v>
      </c>
      <c r="G34" t="s">
        <v>228</v>
      </c>
      <c r="H34" t="s">
        <v>223</v>
      </c>
    </row>
    <row r="35" spans="1:8" ht="45" x14ac:dyDescent="0.25">
      <c r="A35">
        <v>32</v>
      </c>
      <c r="C35" t="s">
        <v>35</v>
      </c>
      <c r="D35" t="s">
        <v>54</v>
      </c>
      <c r="E35" t="s">
        <v>361</v>
      </c>
      <c r="F35" s="7">
        <v>0</v>
      </c>
      <c r="G35" s="12" t="s">
        <v>225</v>
      </c>
      <c r="H35" t="s">
        <v>223</v>
      </c>
    </row>
    <row r="36" spans="1:8" x14ac:dyDescent="0.3">
      <c r="A36">
        <v>33</v>
      </c>
      <c r="C36" t="s">
        <v>55</v>
      </c>
      <c r="D36" t="s">
        <v>28</v>
      </c>
      <c r="E36" t="s">
        <v>362</v>
      </c>
      <c r="F36" s="11" t="s">
        <v>222</v>
      </c>
      <c r="G36" t="s">
        <v>301</v>
      </c>
      <c r="H36" t="s">
        <v>223</v>
      </c>
    </row>
    <row r="37" spans="1:8" ht="28.8" x14ac:dyDescent="0.3">
      <c r="A37">
        <v>34</v>
      </c>
      <c r="C37" t="s">
        <v>55</v>
      </c>
      <c r="D37" t="s">
        <v>56</v>
      </c>
      <c r="E37" t="s">
        <v>363</v>
      </c>
      <c r="F37" s="13">
        <v>3</v>
      </c>
      <c r="G37" s="5" t="s">
        <v>323</v>
      </c>
      <c r="H37" t="s">
        <v>223</v>
      </c>
    </row>
    <row r="38" spans="1:8" x14ac:dyDescent="0.3">
      <c r="A38">
        <v>35</v>
      </c>
      <c r="C38" t="s">
        <v>86</v>
      </c>
      <c r="D38" t="s">
        <v>28</v>
      </c>
      <c r="E38" t="s">
        <v>364</v>
      </c>
      <c r="F38" s="11" t="s">
        <v>222</v>
      </c>
      <c r="G38" t="s">
        <v>301</v>
      </c>
      <c r="H38" t="s">
        <v>223</v>
      </c>
    </row>
    <row r="39" spans="1:8" x14ac:dyDescent="0.3">
      <c r="A39">
        <v>36</v>
      </c>
      <c r="C39" t="s">
        <v>86</v>
      </c>
      <c r="D39" t="s">
        <v>87</v>
      </c>
      <c r="E39" t="s">
        <v>365</v>
      </c>
      <c r="F39" s="11" t="s">
        <v>304</v>
      </c>
      <c r="G39" t="s">
        <v>238</v>
      </c>
      <c r="H39" t="s">
        <v>223</v>
      </c>
    </row>
    <row r="40" spans="1:8" x14ac:dyDescent="0.3">
      <c r="A40">
        <v>37</v>
      </c>
      <c r="C40" t="s">
        <v>86</v>
      </c>
      <c r="D40" t="s">
        <v>88</v>
      </c>
      <c r="E40" t="s">
        <v>366</v>
      </c>
      <c r="F40" s="11" t="s">
        <v>302</v>
      </c>
      <c r="G40" t="s">
        <v>303</v>
      </c>
      <c r="H40" t="s">
        <v>223</v>
      </c>
    </row>
    <row r="41" spans="1:8" x14ac:dyDescent="0.3">
      <c r="A41">
        <v>38</v>
      </c>
      <c r="C41" t="s">
        <v>57</v>
      </c>
      <c r="D41" t="s">
        <v>15</v>
      </c>
      <c r="E41" t="s">
        <v>367</v>
      </c>
      <c r="F41" s="11">
        <v>0</v>
      </c>
      <c r="G41" t="s">
        <v>238</v>
      </c>
      <c r="H41" t="s">
        <v>223</v>
      </c>
    </row>
    <row r="42" spans="1:8" x14ac:dyDescent="0.3">
      <c r="A42">
        <v>39</v>
      </c>
      <c r="C42" t="s">
        <v>57</v>
      </c>
      <c r="D42" t="s">
        <v>58</v>
      </c>
      <c r="E42" t="s">
        <v>368</v>
      </c>
      <c r="F42" s="11" t="s">
        <v>222</v>
      </c>
      <c r="G42" t="s">
        <v>238</v>
      </c>
      <c r="H42" t="s">
        <v>223</v>
      </c>
    </row>
    <row r="43" spans="1:8" x14ac:dyDescent="0.3">
      <c r="A43">
        <v>40</v>
      </c>
      <c r="C43" t="s">
        <v>57</v>
      </c>
      <c r="D43" t="s">
        <v>59</v>
      </c>
      <c r="E43" t="s">
        <v>369</v>
      </c>
      <c r="F43" s="11" t="s">
        <v>222</v>
      </c>
      <c r="G43" t="s">
        <v>238</v>
      </c>
      <c r="H43" t="s">
        <v>223</v>
      </c>
    </row>
    <row r="44" spans="1:8" x14ac:dyDescent="0.3">
      <c r="A44">
        <v>41</v>
      </c>
      <c r="C44" t="s">
        <v>129</v>
      </c>
      <c r="D44" t="s">
        <v>15</v>
      </c>
      <c r="E44" t="s">
        <v>462</v>
      </c>
      <c r="F44" s="11" t="s">
        <v>222</v>
      </c>
      <c r="G44" t="s">
        <v>301</v>
      </c>
      <c r="H44" t="s">
        <v>223</v>
      </c>
    </row>
    <row r="45" spans="1:8" x14ac:dyDescent="0.3">
      <c r="A45">
        <v>42</v>
      </c>
      <c r="C45" t="s">
        <v>129</v>
      </c>
      <c r="D45" t="s">
        <v>90</v>
      </c>
      <c r="E45" t="s">
        <v>463</v>
      </c>
      <c r="F45" s="11" t="s">
        <v>304</v>
      </c>
      <c r="G45" t="s">
        <v>305</v>
      </c>
      <c r="H45" t="s">
        <v>223</v>
      </c>
    </row>
    <row r="46" spans="1:8" x14ac:dyDescent="0.3">
      <c r="A46">
        <v>43</v>
      </c>
      <c r="C46" t="s">
        <v>129</v>
      </c>
      <c r="D46" t="s">
        <v>91</v>
      </c>
      <c r="E46" t="s">
        <v>464</v>
      </c>
      <c r="F46" s="11" t="s">
        <v>304</v>
      </c>
      <c r="G46" t="s">
        <v>306</v>
      </c>
      <c r="H46" t="s">
        <v>223</v>
      </c>
    </row>
    <row r="47" spans="1:8" x14ac:dyDescent="0.3">
      <c r="A47">
        <v>44</v>
      </c>
      <c r="C47" t="s">
        <v>129</v>
      </c>
      <c r="D47" t="s">
        <v>92</v>
      </c>
      <c r="E47" t="s">
        <v>465</v>
      </c>
      <c r="F47" s="11" t="s">
        <v>304</v>
      </c>
      <c r="G47" t="s">
        <v>307</v>
      </c>
      <c r="H47" t="s">
        <v>223</v>
      </c>
    </row>
    <row r="48" spans="1:8" x14ac:dyDescent="0.3">
      <c r="A48">
        <v>45</v>
      </c>
      <c r="C48" t="s">
        <v>129</v>
      </c>
      <c r="D48" t="s">
        <v>93</v>
      </c>
      <c r="E48" t="s">
        <v>466</v>
      </c>
      <c r="F48" s="11" t="s">
        <v>308</v>
      </c>
      <c r="G48" t="s">
        <v>309</v>
      </c>
      <c r="H48" t="s">
        <v>223</v>
      </c>
    </row>
    <row r="49" spans="1:8" x14ac:dyDescent="0.3">
      <c r="A49">
        <v>46</v>
      </c>
      <c r="C49" t="s">
        <v>129</v>
      </c>
      <c r="D49" t="s">
        <v>94</v>
      </c>
      <c r="E49" t="s">
        <v>467</v>
      </c>
      <c r="F49" s="7">
        <v>1</v>
      </c>
      <c r="G49" t="s">
        <v>310</v>
      </c>
      <c r="H49" t="s">
        <v>223</v>
      </c>
    </row>
    <row r="50" spans="1:8" x14ac:dyDescent="0.3">
      <c r="A50">
        <v>47</v>
      </c>
      <c r="C50" t="s">
        <v>129</v>
      </c>
      <c r="D50" t="s">
        <v>95</v>
      </c>
      <c r="E50" t="s">
        <v>468</v>
      </c>
      <c r="F50" s="7">
        <v>0</v>
      </c>
      <c r="G50" t="s">
        <v>311</v>
      </c>
      <c r="H50" t="s">
        <v>223</v>
      </c>
    </row>
    <row r="51" spans="1:8" x14ac:dyDescent="0.3">
      <c r="A51">
        <v>48</v>
      </c>
      <c r="C51" t="s">
        <v>129</v>
      </c>
      <c r="D51" t="s">
        <v>96</v>
      </c>
      <c r="E51" t="s">
        <v>469</v>
      </c>
      <c r="F51" s="7">
        <v>0</v>
      </c>
      <c r="G51" t="s">
        <v>312</v>
      </c>
      <c r="H51" t="s">
        <v>223</v>
      </c>
    </row>
    <row r="52" spans="1:8" x14ac:dyDescent="0.3">
      <c r="A52">
        <v>49</v>
      </c>
      <c r="C52" t="s">
        <v>129</v>
      </c>
      <c r="D52" t="s">
        <v>97</v>
      </c>
      <c r="E52" t="s">
        <v>470</v>
      </c>
      <c r="F52" s="7">
        <v>0</v>
      </c>
      <c r="G52" t="s">
        <v>313</v>
      </c>
      <c r="H52" t="s">
        <v>223</v>
      </c>
    </row>
    <row r="53" spans="1:8" x14ac:dyDescent="0.3">
      <c r="A53">
        <v>50</v>
      </c>
      <c r="C53" t="s">
        <v>129</v>
      </c>
      <c r="D53" t="s">
        <v>98</v>
      </c>
      <c r="E53" t="s">
        <v>471</v>
      </c>
      <c r="F53" s="11" t="s">
        <v>314</v>
      </c>
      <c r="G53" t="s">
        <v>327</v>
      </c>
      <c r="H53" t="s">
        <v>223</v>
      </c>
    </row>
    <row r="54" spans="1:8" x14ac:dyDescent="0.3">
      <c r="A54">
        <v>51</v>
      </c>
      <c r="C54" t="s">
        <v>129</v>
      </c>
      <c r="D54" t="s">
        <v>99</v>
      </c>
      <c r="E54" t="s">
        <v>472</v>
      </c>
      <c r="F54" s="11" t="s">
        <v>315</v>
      </c>
      <c r="G54" t="s">
        <v>316</v>
      </c>
      <c r="H54" t="s">
        <v>223</v>
      </c>
    </row>
    <row r="55" spans="1:8" x14ac:dyDescent="0.3">
      <c r="A55">
        <v>52</v>
      </c>
      <c r="C55" t="s">
        <v>129</v>
      </c>
      <c r="D55" t="s">
        <v>100</v>
      </c>
      <c r="E55" t="s">
        <v>473</v>
      </c>
      <c r="F55" s="11" t="s">
        <v>317</v>
      </c>
      <c r="G55" t="s">
        <v>318</v>
      </c>
      <c r="H55" t="s">
        <v>223</v>
      </c>
    </row>
    <row r="56" spans="1:8" x14ac:dyDescent="0.3">
      <c r="A56">
        <v>53</v>
      </c>
      <c r="C56" t="s">
        <v>129</v>
      </c>
      <c r="D56" t="s">
        <v>101</v>
      </c>
      <c r="E56" t="s">
        <v>474</v>
      </c>
      <c r="F56" s="11" t="s">
        <v>319</v>
      </c>
      <c r="G56" t="s">
        <v>320</v>
      </c>
      <c r="H56" t="s">
        <v>223</v>
      </c>
    </row>
    <row r="57" spans="1:8" x14ac:dyDescent="0.3">
      <c r="A57">
        <v>54</v>
      </c>
      <c r="C57" t="s">
        <v>169</v>
      </c>
      <c r="D57" t="s">
        <v>28</v>
      </c>
      <c r="E57" t="s">
        <v>396</v>
      </c>
      <c r="F57" s="11" t="s">
        <v>222</v>
      </c>
      <c r="G57" t="s">
        <v>301</v>
      </c>
      <c r="H57" t="s">
        <v>223</v>
      </c>
    </row>
    <row r="58" spans="1:8" ht="28.8" x14ac:dyDescent="0.3">
      <c r="A58">
        <v>55</v>
      </c>
      <c r="C58" t="s">
        <v>169</v>
      </c>
      <c r="D58" t="s">
        <v>170</v>
      </c>
      <c r="E58" t="s">
        <v>397</v>
      </c>
      <c r="F58" s="11" t="s">
        <v>321</v>
      </c>
      <c r="G58" s="5" t="s">
        <v>322</v>
      </c>
      <c r="H58" t="s">
        <v>223</v>
      </c>
    </row>
    <row r="59" spans="1:8" x14ac:dyDescent="0.3">
      <c r="A59">
        <v>56</v>
      </c>
      <c r="C59" t="s">
        <v>83</v>
      </c>
      <c r="D59" t="s">
        <v>15</v>
      </c>
      <c r="E59" t="s">
        <v>398</v>
      </c>
      <c r="F59" s="11" t="s">
        <v>222</v>
      </c>
      <c r="G59" t="s">
        <v>301</v>
      </c>
      <c r="H59" t="s">
        <v>223</v>
      </c>
    </row>
    <row r="60" spans="1:8" x14ac:dyDescent="0.3">
      <c r="A60">
        <v>57</v>
      </c>
      <c r="C60" t="s">
        <v>83</v>
      </c>
      <c r="D60" t="s">
        <v>84</v>
      </c>
      <c r="E60" t="s">
        <v>399</v>
      </c>
      <c r="F60" s="7">
        <v>0</v>
      </c>
      <c r="G60" t="s">
        <v>240</v>
      </c>
      <c r="H60" t="s">
        <v>223</v>
      </c>
    </row>
    <row r="61" spans="1:8" x14ac:dyDescent="0.3">
      <c r="A61">
        <v>58</v>
      </c>
      <c r="C61" t="s">
        <v>83</v>
      </c>
      <c r="D61" t="s">
        <v>85</v>
      </c>
      <c r="E61" t="s">
        <v>400</v>
      </c>
      <c r="F61" s="7">
        <v>0</v>
      </c>
      <c r="G61" t="s">
        <v>300</v>
      </c>
      <c r="H61" t="s">
        <v>223</v>
      </c>
    </row>
    <row r="62" spans="1:8" x14ac:dyDescent="0.3">
      <c r="A62">
        <v>59</v>
      </c>
      <c r="B62" t="s">
        <v>244</v>
      </c>
      <c r="C62" t="s">
        <v>64</v>
      </c>
      <c r="D62" t="s">
        <v>15</v>
      </c>
      <c r="E62" t="s">
        <v>401</v>
      </c>
      <c r="F62" s="7">
        <v>15663360</v>
      </c>
      <c r="G62" t="s">
        <v>190</v>
      </c>
      <c r="H62" t="s">
        <v>299</v>
      </c>
    </row>
    <row r="63" spans="1:8" x14ac:dyDescent="0.3">
      <c r="A63">
        <v>60</v>
      </c>
      <c r="B63" t="s">
        <v>245</v>
      </c>
      <c r="C63" t="s">
        <v>64</v>
      </c>
      <c r="D63" t="s">
        <v>15</v>
      </c>
      <c r="E63" t="s">
        <v>401</v>
      </c>
      <c r="F63" s="7">
        <v>15663168</v>
      </c>
      <c r="G63" t="s">
        <v>193</v>
      </c>
      <c r="H63" t="s">
        <v>299</v>
      </c>
    </row>
    <row r="64" spans="1:8" x14ac:dyDescent="0.3">
      <c r="A64">
        <v>61</v>
      </c>
      <c r="B64" t="s">
        <v>246</v>
      </c>
      <c r="C64" t="s">
        <v>64</v>
      </c>
      <c r="D64" t="s">
        <v>15</v>
      </c>
      <c r="E64" t="s">
        <v>401</v>
      </c>
      <c r="F64" s="7">
        <v>15663616</v>
      </c>
      <c r="G64" t="s">
        <v>191</v>
      </c>
      <c r="H64" t="s">
        <v>299</v>
      </c>
    </row>
    <row r="65" spans="1:8" x14ac:dyDescent="0.3">
      <c r="A65">
        <v>62</v>
      </c>
      <c r="B65" t="s">
        <v>247</v>
      </c>
      <c r="C65" t="s">
        <v>64</v>
      </c>
      <c r="D65" t="s">
        <v>15</v>
      </c>
      <c r="E65" t="s">
        <v>401</v>
      </c>
      <c r="F65" s="7">
        <v>16711680</v>
      </c>
      <c r="G65" t="s">
        <v>298</v>
      </c>
      <c r="H65" t="s">
        <v>299</v>
      </c>
    </row>
    <row r="66" spans="1:8" x14ac:dyDescent="0.3">
      <c r="A66">
        <v>63</v>
      </c>
      <c r="B66" t="s">
        <v>248</v>
      </c>
      <c r="C66" t="s">
        <v>64</v>
      </c>
      <c r="D66" t="s">
        <v>15</v>
      </c>
      <c r="E66" t="s">
        <v>401</v>
      </c>
      <c r="F66" s="7">
        <v>16711680</v>
      </c>
      <c r="G66" t="s">
        <v>298</v>
      </c>
      <c r="H66" t="s">
        <v>299</v>
      </c>
    </row>
    <row r="67" spans="1:8" x14ac:dyDescent="0.3">
      <c r="A67">
        <v>64</v>
      </c>
      <c r="B67" t="s">
        <v>249</v>
      </c>
      <c r="C67" t="s">
        <v>64</v>
      </c>
      <c r="D67" t="s">
        <v>15</v>
      </c>
      <c r="E67" t="s">
        <v>401</v>
      </c>
      <c r="F67" s="7">
        <v>16711680</v>
      </c>
      <c r="G67" t="s">
        <v>298</v>
      </c>
      <c r="H67" t="s">
        <v>299</v>
      </c>
    </row>
    <row r="68" spans="1:8" x14ac:dyDescent="0.3">
      <c r="A68">
        <v>65</v>
      </c>
      <c r="B68" t="s">
        <v>250</v>
      </c>
      <c r="C68" t="s">
        <v>64</v>
      </c>
      <c r="D68" t="s">
        <v>15</v>
      </c>
      <c r="E68" t="s">
        <v>401</v>
      </c>
      <c r="F68" s="7">
        <v>16729152</v>
      </c>
      <c r="G68" t="s">
        <v>194</v>
      </c>
      <c r="H68" t="s">
        <v>299</v>
      </c>
    </row>
    <row r="69" spans="1:8" x14ac:dyDescent="0.3">
      <c r="A69">
        <v>66</v>
      </c>
      <c r="B69" t="s">
        <v>251</v>
      </c>
      <c r="C69" t="s">
        <v>64</v>
      </c>
      <c r="D69" t="s">
        <v>15</v>
      </c>
      <c r="E69" t="s">
        <v>401</v>
      </c>
      <c r="F69" s="7">
        <v>16712704</v>
      </c>
      <c r="G69" t="s">
        <v>192</v>
      </c>
      <c r="H69" t="s">
        <v>299</v>
      </c>
    </row>
    <row r="70" spans="1:8" x14ac:dyDescent="0.3">
      <c r="A70">
        <v>67</v>
      </c>
      <c r="B70" t="s">
        <v>252</v>
      </c>
      <c r="C70" t="s">
        <v>64</v>
      </c>
      <c r="D70" t="s">
        <v>15</v>
      </c>
      <c r="E70" t="s">
        <v>401</v>
      </c>
      <c r="F70" s="7">
        <v>16712192</v>
      </c>
      <c r="G70" t="s">
        <v>191</v>
      </c>
      <c r="H70" t="s">
        <v>299</v>
      </c>
    </row>
    <row r="71" spans="1:8" x14ac:dyDescent="0.3">
      <c r="A71">
        <v>68</v>
      </c>
      <c r="B71" t="s">
        <v>253</v>
      </c>
      <c r="C71" t="s">
        <v>64</v>
      </c>
      <c r="D71" t="s">
        <v>15</v>
      </c>
      <c r="E71" t="s">
        <v>401</v>
      </c>
      <c r="F71" s="7">
        <v>16729088</v>
      </c>
      <c r="G71" t="s">
        <v>195</v>
      </c>
      <c r="H71" t="s">
        <v>299</v>
      </c>
    </row>
    <row r="72" spans="1:8" x14ac:dyDescent="0.3">
      <c r="A72">
        <v>69</v>
      </c>
      <c r="B72" t="s">
        <v>254</v>
      </c>
      <c r="C72" t="s">
        <v>64</v>
      </c>
      <c r="D72" t="s">
        <v>15</v>
      </c>
      <c r="E72" t="s">
        <v>401</v>
      </c>
      <c r="F72" s="7">
        <v>16712704</v>
      </c>
      <c r="G72" t="s">
        <v>192</v>
      </c>
      <c r="H72" t="s">
        <v>299</v>
      </c>
    </row>
    <row r="73" spans="1:8" x14ac:dyDescent="0.3">
      <c r="A73">
        <v>70</v>
      </c>
      <c r="B73" t="s">
        <v>255</v>
      </c>
      <c r="C73" t="s">
        <v>64</v>
      </c>
      <c r="D73" t="s">
        <v>15</v>
      </c>
      <c r="E73" t="s">
        <v>401</v>
      </c>
      <c r="F73" s="7">
        <v>16712192</v>
      </c>
      <c r="G73" t="s">
        <v>191</v>
      </c>
      <c r="H73" t="s">
        <v>299</v>
      </c>
    </row>
    <row r="74" spans="1:8" x14ac:dyDescent="0.3">
      <c r="A74">
        <v>71</v>
      </c>
      <c r="B74" t="s">
        <v>256</v>
      </c>
      <c r="C74" t="s">
        <v>64</v>
      </c>
      <c r="D74" t="s">
        <v>15</v>
      </c>
      <c r="E74" t="s">
        <v>401</v>
      </c>
      <c r="F74" s="7">
        <v>16729089</v>
      </c>
      <c r="G74" t="s">
        <v>196</v>
      </c>
      <c r="H74" t="s">
        <v>299</v>
      </c>
    </row>
    <row r="75" spans="1:8" x14ac:dyDescent="0.3">
      <c r="A75">
        <v>72</v>
      </c>
      <c r="B75" t="s">
        <v>257</v>
      </c>
      <c r="C75" t="s">
        <v>64</v>
      </c>
      <c r="D75" t="s">
        <v>15</v>
      </c>
      <c r="E75" t="s">
        <v>401</v>
      </c>
      <c r="F75" s="7">
        <v>16712704</v>
      </c>
      <c r="G75" t="s">
        <v>192</v>
      </c>
      <c r="H75" t="s">
        <v>299</v>
      </c>
    </row>
    <row r="76" spans="1:8" x14ac:dyDescent="0.3">
      <c r="A76">
        <v>73</v>
      </c>
      <c r="B76" t="s">
        <v>258</v>
      </c>
      <c r="C76" t="s">
        <v>64</v>
      </c>
      <c r="D76" t="s">
        <v>15</v>
      </c>
      <c r="E76" t="s">
        <v>401</v>
      </c>
      <c r="F76" s="7">
        <v>16712192</v>
      </c>
      <c r="G76" t="s">
        <v>191</v>
      </c>
      <c r="H76" t="s">
        <v>299</v>
      </c>
    </row>
    <row r="77" spans="1:8" x14ac:dyDescent="0.3">
      <c r="A77">
        <v>74</v>
      </c>
      <c r="B77" t="s">
        <v>259</v>
      </c>
      <c r="C77" t="s">
        <v>64</v>
      </c>
      <c r="D77" t="s">
        <v>15</v>
      </c>
      <c r="E77" t="s">
        <v>401</v>
      </c>
      <c r="F77" s="7">
        <v>16729153</v>
      </c>
      <c r="G77" t="s">
        <v>197</v>
      </c>
      <c r="H77" t="s">
        <v>299</v>
      </c>
    </row>
    <row r="78" spans="1:8" x14ac:dyDescent="0.3">
      <c r="A78">
        <v>75</v>
      </c>
      <c r="B78" t="s">
        <v>260</v>
      </c>
      <c r="C78" t="s">
        <v>64</v>
      </c>
      <c r="D78" t="s">
        <v>15</v>
      </c>
      <c r="E78" t="s">
        <v>401</v>
      </c>
      <c r="F78" s="7">
        <v>16712704</v>
      </c>
      <c r="G78" t="s">
        <v>192</v>
      </c>
      <c r="H78" t="s">
        <v>299</v>
      </c>
    </row>
    <row r="79" spans="1:8" x14ac:dyDescent="0.3">
      <c r="A79">
        <v>76</v>
      </c>
      <c r="B79" t="s">
        <v>261</v>
      </c>
      <c r="C79" t="s">
        <v>64</v>
      </c>
      <c r="D79" t="s">
        <v>15</v>
      </c>
      <c r="E79" t="s">
        <v>401</v>
      </c>
      <c r="F79" s="7">
        <v>16712192</v>
      </c>
      <c r="G79" t="s">
        <v>191</v>
      </c>
      <c r="H79" t="s">
        <v>299</v>
      </c>
    </row>
    <row r="80" spans="1:8" x14ac:dyDescent="0.3">
      <c r="A80">
        <v>77</v>
      </c>
      <c r="B80" t="s">
        <v>262</v>
      </c>
      <c r="C80" t="s">
        <v>64</v>
      </c>
      <c r="D80" t="s">
        <v>15</v>
      </c>
      <c r="E80" t="s">
        <v>401</v>
      </c>
      <c r="F80" s="7">
        <v>16729090</v>
      </c>
      <c r="G80" t="s">
        <v>198</v>
      </c>
      <c r="H80" t="s">
        <v>299</v>
      </c>
    </row>
    <row r="81" spans="1:8" x14ac:dyDescent="0.3">
      <c r="A81">
        <v>78</v>
      </c>
      <c r="B81" t="s">
        <v>263</v>
      </c>
      <c r="C81" t="s">
        <v>64</v>
      </c>
      <c r="D81" t="s">
        <v>15</v>
      </c>
      <c r="E81" t="s">
        <v>401</v>
      </c>
      <c r="F81" s="7">
        <v>16712704</v>
      </c>
      <c r="G81" t="s">
        <v>192</v>
      </c>
      <c r="H81" t="s">
        <v>299</v>
      </c>
    </row>
    <row r="82" spans="1:8" x14ac:dyDescent="0.3">
      <c r="A82">
        <v>79</v>
      </c>
      <c r="B82" t="s">
        <v>264</v>
      </c>
      <c r="C82" t="s">
        <v>64</v>
      </c>
      <c r="D82" t="s">
        <v>15</v>
      </c>
      <c r="E82" t="s">
        <v>401</v>
      </c>
      <c r="F82" s="7">
        <v>16712192</v>
      </c>
      <c r="G82" t="s">
        <v>191</v>
      </c>
      <c r="H82" t="s">
        <v>299</v>
      </c>
    </row>
    <row r="83" spans="1:8" x14ac:dyDescent="0.3">
      <c r="A83">
        <v>80</v>
      </c>
      <c r="B83" t="s">
        <v>265</v>
      </c>
      <c r="C83" t="s">
        <v>64</v>
      </c>
      <c r="D83" t="s">
        <v>15</v>
      </c>
      <c r="E83" t="s">
        <v>401</v>
      </c>
      <c r="F83" s="7">
        <v>16729154</v>
      </c>
      <c r="G83" t="s">
        <v>199</v>
      </c>
      <c r="H83" t="s">
        <v>299</v>
      </c>
    </row>
    <row r="84" spans="1:8" x14ac:dyDescent="0.3">
      <c r="A84">
        <v>81</v>
      </c>
      <c r="B84" t="s">
        <v>266</v>
      </c>
      <c r="C84" t="s">
        <v>64</v>
      </c>
      <c r="D84" t="s">
        <v>15</v>
      </c>
      <c r="E84" t="s">
        <v>401</v>
      </c>
      <c r="F84" s="7">
        <v>16712704</v>
      </c>
      <c r="G84" t="s">
        <v>192</v>
      </c>
      <c r="H84" t="s">
        <v>299</v>
      </c>
    </row>
    <row r="85" spans="1:8" x14ac:dyDescent="0.3">
      <c r="A85">
        <v>82</v>
      </c>
      <c r="B85" t="s">
        <v>267</v>
      </c>
      <c r="C85" t="s">
        <v>64</v>
      </c>
      <c r="D85" t="s">
        <v>15</v>
      </c>
      <c r="E85" t="s">
        <v>401</v>
      </c>
      <c r="F85" s="7">
        <v>16712192</v>
      </c>
      <c r="G85" t="s">
        <v>191</v>
      </c>
      <c r="H85" t="s">
        <v>299</v>
      </c>
    </row>
    <row r="86" spans="1:8" x14ac:dyDescent="0.3">
      <c r="A86">
        <v>83</v>
      </c>
      <c r="B86" t="s">
        <v>268</v>
      </c>
      <c r="C86" t="s">
        <v>64</v>
      </c>
      <c r="D86" t="s">
        <v>15</v>
      </c>
      <c r="E86" t="s">
        <v>401</v>
      </c>
      <c r="F86" s="7">
        <v>16729155</v>
      </c>
      <c r="G86" t="s">
        <v>200</v>
      </c>
      <c r="H86" t="s">
        <v>299</v>
      </c>
    </row>
    <row r="87" spans="1:8" x14ac:dyDescent="0.3">
      <c r="A87">
        <v>84</v>
      </c>
      <c r="B87" t="s">
        <v>269</v>
      </c>
      <c r="C87" t="s">
        <v>64</v>
      </c>
      <c r="D87" t="s">
        <v>15</v>
      </c>
      <c r="E87" t="s">
        <v>401</v>
      </c>
      <c r="F87" s="7">
        <v>16712704</v>
      </c>
      <c r="G87" t="s">
        <v>192</v>
      </c>
      <c r="H87" t="s">
        <v>299</v>
      </c>
    </row>
    <row r="88" spans="1:8" x14ac:dyDescent="0.3">
      <c r="A88">
        <v>85</v>
      </c>
      <c r="B88" t="s">
        <v>270</v>
      </c>
      <c r="C88" t="s">
        <v>64</v>
      </c>
      <c r="D88" t="s">
        <v>15</v>
      </c>
      <c r="E88" t="s">
        <v>401</v>
      </c>
      <c r="F88" s="7">
        <v>16712192</v>
      </c>
      <c r="G88" t="s">
        <v>191</v>
      </c>
      <c r="H88" t="s">
        <v>299</v>
      </c>
    </row>
    <row r="89" spans="1:8" x14ac:dyDescent="0.3">
      <c r="A89">
        <v>86</v>
      </c>
      <c r="B89" t="s">
        <v>271</v>
      </c>
      <c r="C89" t="s">
        <v>64</v>
      </c>
      <c r="D89" t="s">
        <v>15</v>
      </c>
      <c r="E89" t="s">
        <v>401</v>
      </c>
      <c r="F89" s="7">
        <v>16729091</v>
      </c>
      <c r="G89" t="s">
        <v>201</v>
      </c>
      <c r="H89" t="s">
        <v>299</v>
      </c>
    </row>
    <row r="90" spans="1:8" x14ac:dyDescent="0.3">
      <c r="A90">
        <v>87</v>
      </c>
      <c r="B90" t="s">
        <v>272</v>
      </c>
      <c r="C90" t="s">
        <v>64</v>
      </c>
      <c r="D90" t="s">
        <v>15</v>
      </c>
      <c r="E90" t="s">
        <v>401</v>
      </c>
      <c r="F90" s="7">
        <v>16712704</v>
      </c>
      <c r="G90" t="s">
        <v>192</v>
      </c>
      <c r="H90" t="s">
        <v>299</v>
      </c>
    </row>
    <row r="91" spans="1:8" x14ac:dyDescent="0.3">
      <c r="A91">
        <v>88</v>
      </c>
      <c r="B91" t="s">
        <v>273</v>
      </c>
      <c r="C91" t="s">
        <v>64</v>
      </c>
      <c r="D91" t="s">
        <v>15</v>
      </c>
      <c r="E91" t="s">
        <v>401</v>
      </c>
      <c r="F91" s="7">
        <v>16712192</v>
      </c>
      <c r="G91" t="s">
        <v>191</v>
      </c>
      <c r="H91" t="s">
        <v>299</v>
      </c>
    </row>
    <row r="92" spans="1:8" x14ac:dyDescent="0.3">
      <c r="A92">
        <v>89</v>
      </c>
      <c r="B92" t="s">
        <v>274</v>
      </c>
      <c r="C92" t="s">
        <v>64</v>
      </c>
      <c r="D92" t="s">
        <v>15</v>
      </c>
      <c r="E92" t="s">
        <v>401</v>
      </c>
      <c r="F92" s="7">
        <v>16729092</v>
      </c>
      <c r="G92" t="s">
        <v>202</v>
      </c>
      <c r="H92" t="s">
        <v>299</v>
      </c>
    </row>
    <row r="93" spans="1:8" x14ac:dyDescent="0.3">
      <c r="A93">
        <v>90</v>
      </c>
      <c r="B93" t="s">
        <v>275</v>
      </c>
      <c r="C93" t="s">
        <v>64</v>
      </c>
      <c r="D93" t="s">
        <v>15</v>
      </c>
      <c r="E93" t="s">
        <v>401</v>
      </c>
      <c r="F93" s="7">
        <v>16712704</v>
      </c>
      <c r="G93" t="s">
        <v>192</v>
      </c>
      <c r="H93" t="s">
        <v>299</v>
      </c>
    </row>
    <row r="94" spans="1:8" x14ac:dyDescent="0.3">
      <c r="A94">
        <v>91</v>
      </c>
      <c r="B94" t="s">
        <v>276</v>
      </c>
      <c r="C94" t="s">
        <v>64</v>
      </c>
      <c r="D94" t="s">
        <v>15</v>
      </c>
      <c r="E94" t="s">
        <v>401</v>
      </c>
      <c r="F94" s="7">
        <v>16712192</v>
      </c>
      <c r="G94" t="s">
        <v>191</v>
      </c>
      <c r="H94" t="s">
        <v>299</v>
      </c>
    </row>
    <row r="95" spans="1:8" x14ac:dyDescent="0.3">
      <c r="A95">
        <v>92</v>
      </c>
      <c r="B95" t="s">
        <v>277</v>
      </c>
      <c r="C95" t="s">
        <v>64</v>
      </c>
      <c r="D95" t="s">
        <v>15</v>
      </c>
      <c r="E95" t="s">
        <v>401</v>
      </c>
      <c r="F95" s="7">
        <v>16729156</v>
      </c>
      <c r="G95" t="s">
        <v>203</v>
      </c>
      <c r="H95" t="s">
        <v>299</v>
      </c>
    </row>
    <row r="96" spans="1:8" x14ac:dyDescent="0.3">
      <c r="A96">
        <v>93</v>
      </c>
      <c r="B96" t="s">
        <v>278</v>
      </c>
      <c r="C96" t="s">
        <v>64</v>
      </c>
      <c r="D96" t="s">
        <v>15</v>
      </c>
      <c r="E96" t="s">
        <v>401</v>
      </c>
      <c r="F96" s="7">
        <v>16712704</v>
      </c>
      <c r="G96" t="s">
        <v>192</v>
      </c>
      <c r="H96" t="s">
        <v>299</v>
      </c>
    </row>
    <row r="97" spans="1:8" x14ac:dyDescent="0.3">
      <c r="A97">
        <v>94</v>
      </c>
      <c r="B97" t="s">
        <v>279</v>
      </c>
      <c r="C97" t="s">
        <v>64</v>
      </c>
      <c r="D97" t="s">
        <v>15</v>
      </c>
      <c r="E97" t="s">
        <v>401</v>
      </c>
      <c r="F97" s="7">
        <v>16712192</v>
      </c>
      <c r="G97" t="s">
        <v>191</v>
      </c>
      <c r="H97" t="s">
        <v>299</v>
      </c>
    </row>
    <row r="98" spans="1:8" x14ac:dyDescent="0.3">
      <c r="A98">
        <v>95</v>
      </c>
      <c r="B98" t="s">
        <v>280</v>
      </c>
      <c r="C98" t="s">
        <v>64</v>
      </c>
      <c r="D98" t="s">
        <v>15</v>
      </c>
      <c r="E98" t="s">
        <v>401</v>
      </c>
      <c r="F98" s="7">
        <v>16729157</v>
      </c>
      <c r="G98" t="s">
        <v>204</v>
      </c>
      <c r="H98" t="s">
        <v>299</v>
      </c>
    </row>
    <row r="99" spans="1:8" x14ac:dyDescent="0.3">
      <c r="A99">
        <v>96</v>
      </c>
      <c r="B99" t="s">
        <v>281</v>
      </c>
      <c r="C99" t="s">
        <v>64</v>
      </c>
      <c r="D99" t="s">
        <v>15</v>
      </c>
      <c r="E99" t="s">
        <v>401</v>
      </c>
      <c r="F99" s="7">
        <v>16712704</v>
      </c>
      <c r="G99" t="s">
        <v>192</v>
      </c>
      <c r="H99" t="s">
        <v>299</v>
      </c>
    </row>
    <row r="100" spans="1:8" x14ac:dyDescent="0.3">
      <c r="A100">
        <v>97</v>
      </c>
      <c r="B100" t="s">
        <v>282</v>
      </c>
      <c r="C100" t="s">
        <v>64</v>
      </c>
      <c r="D100" t="s">
        <v>15</v>
      </c>
      <c r="E100" t="s">
        <v>401</v>
      </c>
      <c r="F100" s="7">
        <v>16712192</v>
      </c>
      <c r="G100" t="s">
        <v>191</v>
      </c>
      <c r="H100" t="s">
        <v>299</v>
      </c>
    </row>
    <row r="101" spans="1:8" x14ac:dyDescent="0.3">
      <c r="A101">
        <v>98</v>
      </c>
      <c r="B101" t="s">
        <v>283</v>
      </c>
      <c r="C101" t="s">
        <v>64</v>
      </c>
      <c r="D101" t="s">
        <v>15</v>
      </c>
      <c r="E101" t="s">
        <v>401</v>
      </c>
      <c r="F101" s="7">
        <v>16729093</v>
      </c>
      <c r="G101" t="s">
        <v>205</v>
      </c>
      <c r="H101" t="s">
        <v>299</v>
      </c>
    </row>
    <row r="102" spans="1:8" x14ac:dyDescent="0.3">
      <c r="A102">
        <v>99</v>
      </c>
      <c r="B102" t="s">
        <v>284</v>
      </c>
      <c r="C102" t="s">
        <v>64</v>
      </c>
      <c r="D102" t="s">
        <v>15</v>
      </c>
      <c r="E102" t="s">
        <v>401</v>
      </c>
      <c r="F102" s="7">
        <v>16712704</v>
      </c>
      <c r="G102" t="s">
        <v>192</v>
      </c>
      <c r="H102" t="s">
        <v>299</v>
      </c>
    </row>
    <row r="103" spans="1:8" x14ac:dyDescent="0.3">
      <c r="A103">
        <v>100</v>
      </c>
      <c r="B103" t="s">
        <v>285</v>
      </c>
      <c r="C103" t="s">
        <v>64</v>
      </c>
      <c r="D103" t="s">
        <v>15</v>
      </c>
      <c r="E103" t="s">
        <v>401</v>
      </c>
      <c r="F103" s="7">
        <v>16712192</v>
      </c>
      <c r="G103" t="s">
        <v>191</v>
      </c>
      <c r="H103" t="s">
        <v>299</v>
      </c>
    </row>
    <row r="104" spans="1:8" x14ac:dyDescent="0.3">
      <c r="A104">
        <v>101</v>
      </c>
      <c r="B104" t="s">
        <v>286</v>
      </c>
      <c r="C104" t="s">
        <v>64</v>
      </c>
      <c r="D104" t="s">
        <v>15</v>
      </c>
      <c r="E104" t="s">
        <v>401</v>
      </c>
      <c r="F104" s="7">
        <v>16729158</v>
      </c>
      <c r="G104" t="s">
        <v>206</v>
      </c>
      <c r="H104" t="s">
        <v>299</v>
      </c>
    </row>
    <row r="105" spans="1:8" x14ac:dyDescent="0.3">
      <c r="A105">
        <v>102</v>
      </c>
      <c r="B105" t="s">
        <v>287</v>
      </c>
      <c r="C105" t="s">
        <v>64</v>
      </c>
      <c r="D105" t="s">
        <v>15</v>
      </c>
      <c r="E105" t="s">
        <v>401</v>
      </c>
      <c r="F105" s="7">
        <v>16712704</v>
      </c>
      <c r="G105" t="s">
        <v>192</v>
      </c>
      <c r="H105" t="s">
        <v>299</v>
      </c>
    </row>
    <row r="106" spans="1:8" x14ac:dyDescent="0.3">
      <c r="A106">
        <v>103</v>
      </c>
      <c r="B106" t="s">
        <v>288</v>
      </c>
      <c r="C106" t="s">
        <v>64</v>
      </c>
      <c r="D106" t="s">
        <v>15</v>
      </c>
      <c r="E106" t="s">
        <v>401</v>
      </c>
      <c r="F106" s="7">
        <v>16712192</v>
      </c>
      <c r="G106" t="s">
        <v>191</v>
      </c>
      <c r="H106" t="s">
        <v>299</v>
      </c>
    </row>
    <row r="107" spans="1:8" x14ac:dyDescent="0.3">
      <c r="A107">
        <v>104</v>
      </c>
      <c r="B107" t="s">
        <v>289</v>
      </c>
      <c r="C107" t="s">
        <v>64</v>
      </c>
      <c r="D107" t="s">
        <v>15</v>
      </c>
      <c r="E107" t="s">
        <v>401</v>
      </c>
      <c r="F107" s="7">
        <v>16729094</v>
      </c>
      <c r="G107" t="s">
        <v>207</v>
      </c>
      <c r="H107" t="s">
        <v>299</v>
      </c>
    </row>
    <row r="108" spans="1:8" x14ac:dyDescent="0.3">
      <c r="A108">
        <v>105</v>
      </c>
      <c r="B108" t="s">
        <v>290</v>
      </c>
      <c r="C108" t="s">
        <v>64</v>
      </c>
      <c r="D108" t="s">
        <v>15</v>
      </c>
      <c r="E108" t="s">
        <v>401</v>
      </c>
      <c r="F108" s="7">
        <v>16712704</v>
      </c>
      <c r="G108" t="s">
        <v>192</v>
      </c>
      <c r="H108" t="s">
        <v>299</v>
      </c>
    </row>
    <row r="109" spans="1:8" x14ac:dyDescent="0.3">
      <c r="A109">
        <v>106</v>
      </c>
      <c r="B109" t="s">
        <v>291</v>
      </c>
      <c r="C109" t="s">
        <v>64</v>
      </c>
      <c r="D109" t="s">
        <v>15</v>
      </c>
      <c r="E109" t="s">
        <v>401</v>
      </c>
      <c r="F109" s="7">
        <v>16712192</v>
      </c>
      <c r="G109" t="s">
        <v>191</v>
      </c>
      <c r="H109" t="s">
        <v>299</v>
      </c>
    </row>
    <row r="110" spans="1:8" x14ac:dyDescent="0.3">
      <c r="A110">
        <v>107</v>
      </c>
      <c r="B110" t="s">
        <v>292</v>
      </c>
      <c r="C110" t="s">
        <v>64</v>
      </c>
      <c r="D110" t="s">
        <v>15</v>
      </c>
      <c r="E110" t="s">
        <v>401</v>
      </c>
      <c r="F110" s="7">
        <v>16729095</v>
      </c>
      <c r="G110" t="s">
        <v>208</v>
      </c>
      <c r="H110" t="s">
        <v>299</v>
      </c>
    </row>
    <row r="111" spans="1:8" x14ac:dyDescent="0.3">
      <c r="A111">
        <v>108</v>
      </c>
      <c r="B111" t="s">
        <v>293</v>
      </c>
      <c r="C111" t="s">
        <v>64</v>
      </c>
      <c r="D111" t="s">
        <v>15</v>
      </c>
      <c r="E111" t="s">
        <v>401</v>
      </c>
      <c r="F111" s="7">
        <v>16712704</v>
      </c>
      <c r="G111" t="s">
        <v>192</v>
      </c>
      <c r="H111" t="s">
        <v>299</v>
      </c>
    </row>
    <row r="112" spans="1:8" x14ac:dyDescent="0.3">
      <c r="A112">
        <v>109</v>
      </c>
      <c r="B112" t="s">
        <v>294</v>
      </c>
      <c r="C112" t="s">
        <v>64</v>
      </c>
      <c r="D112" t="s">
        <v>15</v>
      </c>
      <c r="E112" t="s">
        <v>401</v>
      </c>
      <c r="F112" s="7">
        <v>16712192</v>
      </c>
      <c r="G112" t="s">
        <v>191</v>
      </c>
      <c r="H112" t="s">
        <v>299</v>
      </c>
    </row>
    <row r="113" spans="1:8" x14ac:dyDescent="0.3">
      <c r="A113">
        <v>110</v>
      </c>
      <c r="B113" t="s">
        <v>295</v>
      </c>
      <c r="C113" t="s">
        <v>64</v>
      </c>
      <c r="D113" t="s">
        <v>15</v>
      </c>
      <c r="E113" t="s">
        <v>401</v>
      </c>
      <c r="F113" s="7">
        <v>16729159</v>
      </c>
      <c r="G113" t="s">
        <v>209</v>
      </c>
      <c r="H113" t="s">
        <v>299</v>
      </c>
    </row>
    <row r="114" spans="1:8" x14ac:dyDescent="0.3">
      <c r="A114">
        <v>111</v>
      </c>
      <c r="B114" t="s">
        <v>296</v>
      </c>
      <c r="C114" t="s">
        <v>64</v>
      </c>
      <c r="D114" t="s">
        <v>15</v>
      </c>
      <c r="E114" t="s">
        <v>401</v>
      </c>
      <c r="F114" s="7">
        <v>16712704</v>
      </c>
      <c r="G114" t="s">
        <v>192</v>
      </c>
      <c r="H114" t="s">
        <v>299</v>
      </c>
    </row>
    <row r="115" spans="1:8" x14ac:dyDescent="0.3">
      <c r="A115">
        <v>112</v>
      </c>
      <c r="B115" t="s">
        <v>297</v>
      </c>
      <c r="C115" t="s">
        <v>64</v>
      </c>
      <c r="D115" t="s">
        <v>15</v>
      </c>
      <c r="E115" t="s">
        <v>401</v>
      </c>
      <c r="F115" s="7">
        <v>16712192</v>
      </c>
      <c r="G115" t="s">
        <v>191</v>
      </c>
      <c r="H115" t="s">
        <v>299</v>
      </c>
    </row>
    <row r="116" spans="1:8" ht="43.2" x14ac:dyDescent="0.3">
      <c r="A116">
        <v>5</v>
      </c>
      <c r="C116" t="s">
        <v>7</v>
      </c>
      <c r="D116" t="s">
        <v>13</v>
      </c>
      <c r="E116" t="s">
        <v>334</v>
      </c>
      <c r="F116" s="7">
        <v>1</v>
      </c>
      <c r="G116" s="5" t="s">
        <v>217</v>
      </c>
      <c r="H116" t="s">
        <v>237</v>
      </c>
    </row>
    <row r="117" spans="1:8" x14ac:dyDescent="0.3">
      <c r="A117">
        <v>190</v>
      </c>
      <c r="C117" t="s">
        <v>14</v>
      </c>
      <c r="D117" t="s">
        <v>15</v>
      </c>
      <c r="E117" t="s">
        <v>402</v>
      </c>
      <c r="F117" s="7" t="s">
        <v>221</v>
      </c>
    </row>
    <row r="118" spans="1:8" x14ac:dyDescent="0.3">
      <c r="A118">
        <v>191</v>
      </c>
      <c r="C118" t="s">
        <v>14</v>
      </c>
      <c r="D118" t="s">
        <v>16</v>
      </c>
      <c r="E118" t="s">
        <v>403</v>
      </c>
      <c r="F118" s="7" t="s">
        <v>221</v>
      </c>
    </row>
    <row r="119" spans="1:8" x14ac:dyDescent="0.3">
      <c r="A119">
        <v>192</v>
      </c>
      <c r="C119" t="s">
        <v>14</v>
      </c>
      <c r="D119" t="s">
        <v>17</v>
      </c>
      <c r="E119" t="s">
        <v>404</v>
      </c>
      <c r="F119" s="7" t="s">
        <v>221</v>
      </c>
    </row>
    <row r="120" spans="1:8" x14ac:dyDescent="0.3">
      <c r="A120">
        <v>193</v>
      </c>
      <c r="C120" t="s">
        <v>14</v>
      </c>
      <c r="D120" t="s">
        <v>18</v>
      </c>
      <c r="E120" t="s">
        <v>405</v>
      </c>
      <c r="F120" s="7" t="s">
        <v>221</v>
      </c>
    </row>
    <row r="121" spans="1:8" x14ac:dyDescent="0.3">
      <c r="A121">
        <v>194</v>
      </c>
      <c r="C121" t="s">
        <v>14</v>
      </c>
      <c r="D121" t="s">
        <v>19</v>
      </c>
      <c r="E121" t="s">
        <v>406</v>
      </c>
      <c r="F121" s="7" t="s">
        <v>221</v>
      </c>
    </row>
    <row r="122" spans="1:8" x14ac:dyDescent="0.3">
      <c r="A122">
        <v>195</v>
      </c>
      <c r="C122" t="s">
        <v>14</v>
      </c>
      <c r="D122" t="s">
        <v>20</v>
      </c>
      <c r="E122" t="s">
        <v>407</v>
      </c>
      <c r="F122" s="7" t="s">
        <v>221</v>
      </c>
    </row>
    <row r="123" spans="1:8" x14ac:dyDescent="0.3">
      <c r="A123">
        <v>196</v>
      </c>
      <c r="C123" t="s">
        <v>14</v>
      </c>
      <c r="D123" t="s">
        <v>21</v>
      </c>
      <c r="E123" t="s">
        <v>408</v>
      </c>
      <c r="F123" s="7" t="s">
        <v>221</v>
      </c>
    </row>
    <row r="124" spans="1:8" x14ac:dyDescent="0.3">
      <c r="A124">
        <v>197</v>
      </c>
      <c r="C124" t="s">
        <v>14</v>
      </c>
      <c r="D124" t="s">
        <v>22</v>
      </c>
      <c r="E124" t="s">
        <v>409</v>
      </c>
      <c r="F124" s="7" t="s">
        <v>221</v>
      </c>
    </row>
    <row r="125" spans="1:8" x14ac:dyDescent="0.3">
      <c r="A125">
        <v>198</v>
      </c>
      <c r="C125" t="s">
        <v>14</v>
      </c>
      <c r="D125" t="s">
        <v>23</v>
      </c>
      <c r="E125" t="s">
        <v>410</v>
      </c>
      <c r="F125" s="7" t="s">
        <v>221</v>
      </c>
    </row>
    <row r="126" spans="1:8" x14ac:dyDescent="0.3">
      <c r="A126">
        <v>199</v>
      </c>
      <c r="C126" t="s">
        <v>14</v>
      </c>
      <c r="D126" t="s">
        <v>24</v>
      </c>
      <c r="E126" t="s">
        <v>411</v>
      </c>
      <c r="F126" s="7" t="s">
        <v>221</v>
      </c>
    </row>
    <row r="127" spans="1:8" x14ac:dyDescent="0.3">
      <c r="A127">
        <v>200</v>
      </c>
      <c r="C127" t="s">
        <v>14</v>
      </c>
      <c r="D127" t="s">
        <v>25</v>
      </c>
      <c r="E127" t="s">
        <v>412</v>
      </c>
      <c r="F127" s="7" t="s">
        <v>221</v>
      </c>
      <c r="G127" s="5"/>
    </row>
    <row r="128" spans="1:8" x14ac:dyDescent="0.3">
      <c r="A128">
        <v>201</v>
      </c>
      <c r="C128" t="s">
        <v>14</v>
      </c>
      <c r="D128" t="s">
        <v>26</v>
      </c>
      <c r="E128" t="s">
        <v>413</v>
      </c>
      <c r="F128" s="7" t="s">
        <v>221</v>
      </c>
      <c r="G128" s="5"/>
    </row>
    <row r="129" spans="1:7" x14ac:dyDescent="0.3">
      <c r="A129">
        <v>219</v>
      </c>
      <c r="C129" t="s">
        <v>78</v>
      </c>
      <c r="D129" t="s">
        <v>15</v>
      </c>
      <c r="E129" t="s">
        <v>414</v>
      </c>
      <c r="F129" s="7" t="s">
        <v>221</v>
      </c>
    </row>
    <row r="130" spans="1:7" x14ac:dyDescent="0.3">
      <c r="A130">
        <v>220</v>
      </c>
      <c r="C130" t="s">
        <v>78</v>
      </c>
      <c r="D130" t="s">
        <v>79</v>
      </c>
      <c r="E130" t="s">
        <v>415</v>
      </c>
      <c r="F130" s="7" t="s">
        <v>221</v>
      </c>
    </row>
    <row r="131" spans="1:7" x14ac:dyDescent="0.3">
      <c r="A131">
        <v>221</v>
      </c>
      <c r="C131" t="s">
        <v>78</v>
      </c>
      <c r="D131" t="s">
        <v>80</v>
      </c>
      <c r="E131" t="s">
        <v>416</v>
      </c>
      <c r="F131" s="7" t="s">
        <v>221</v>
      </c>
    </row>
    <row r="132" spans="1:7" x14ac:dyDescent="0.3">
      <c r="A132">
        <v>222</v>
      </c>
      <c r="C132" t="s">
        <v>78</v>
      </c>
      <c r="D132" t="s">
        <v>81</v>
      </c>
      <c r="E132" t="s">
        <v>417</v>
      </c>
      <c r="F132" s="7" t="s">
        <v>221</v>
      </c>
    </row>
    <row r="133" spans="1:7" x14ac:dyDescent="0.3">
      <c r="A133">
        <v>223</v>
      </c>
      <c r="C133" t="s">
        <v>82</v>
      </c>
      <c r="D133" t="s">
        <v>28</v>
      </c>
      <c r="E133" t="s">
        <v>418</v>
      </c>
      <c r="F133" s="7" t="s">
        <v>221</v>
      </c>
    </row>
    <row r="134" spans="1:7" x14ac:dyDescent="0.3">
      <c r="A134">
        <v>202</v>
      </c>
      <c r="C134" t="s">
        <v>60</v>
      </c>
      <c r="D134" t="s">
        <v>15</v>
      </c>
      <c r="E134" t="s">
        <v>419</v>
      </c>
      <c r="F134" s="11" t="s">
        <v>222</v>
      </c>
      <c r="G134" t="s">
        <v>239</v>
      </c>
    </row>
    <row r="135" spans="1:7" x14ac:dyDescent="0.3">
      <c r="A135">
        <v>203</v>
      </c>
      <c r="C135" t="s">
        <v>60</v>
      </c>
      <c r="D135" t="s">
        <v>61</v>
      </c>
      <c r="E135" t="s">
        <v>420</v>
      </c>
      <c r="F135" s="11" t="s">
        <v>222</v>
      </c>
      <c r="G135" t="s">
        <v>239</v>
      </c>
    </row>
    <row r="136" spans="1:7" x14ac:dyDescent="0.3">
      <c r="A136">
        <v>204</v>
      </c>
      <c r="C136" t="s">
        <v>60</v>
      </c>
      <c r="D136" t="s">
        <v>62</v>
      </c>
      <c r="E136" t="s">
        <v>421</v>
      </c>
      <c r="F136" s="11" t="s">
        <v>222</v>
      </c>
      <c r="G136" t="s">
        <v>239</v>
      </c>
    </row>
    <row r="137" spans="1:7" x14ac:dyDescent="0.3">
      <c r="A137">
        <v>205</v>
      </c>
      <c r="C137" t="s">
        <v>60</v>
      </c>
      <c r="D137" t="s">
        <v>63</v>
      </c>
      <c r="E137" t="s">
        <v>422</v>
      </c>
      <c r="F137" s="11" t="s">
        <v>222</v>
      </c>
      <c r="G137" t="s">
        <v>239</v>
      </c>
    </row>
    <row r="138" spans="1:7" x14ac:dyDescent="0.3">
      <c r="A138">
        <v>206</v>
      </c>
      <c r="C138" t="s">
        <v>64</v>
      </c>
      <c r="D138" t="s">
        <v>65</v>
      </c>
      <c r="E138" t="s">
        <v>423</v>
      </c>
      <c r="F138" s="11" t="s">
        <v>222</v>
      </c>
      <c r="G138" t="s">
        <v>242</v>
      </c>
    </row>
    <row r="139" spans="1:7" x14ac:dyDescent="0.3">
      <c r="A139">
        <v>207</v>
      </c>
      <c r="C139" t="s">
        <v>64</v>
      </c>
      <c r="D139" t="s">
        <v>66</v>
      </c>
      <c r="E139" t="s">
        <v>424</v>
      </c>
      <c r="F139" s="11" t="s">
        <v>222</v>
      </c>
      <c r="G139" t="s">
        <v>242</v>
      </c>
    </row>
    <row r="140" spans="1:7" x14ac:dyDescent="0.3">
      <c r="A140">
        <v>208</v>
      </c>
      <c r="C140" t="s">
        <v>64</v>
      </c>
      <c r="D140" t="s">
        <v>67</v>
      </c>
      <c r="E140" t="s">
        <v>425</v>
      </c>
      <c r="F140" s="11" t="s">
        <v>222</v>
      </c>
      <c r="G140" t="s">
        <v>242</v>
      </c>
    </row>
    <row r="141" spans="1:7" x14ac:dyDescent="0.3">
      <c r="A141">
        <v>209</v>
      </c>
      <c r="C141" t="s">
        <v>64</v>
      </c>
      <c r="D141" t="s">
        <v>68</v>
      </c>
      <c r="E141" t="s">
        <v>426</v>
      </c>
      <c r="F141" s="11" t="s">
        <v>222</v>
      </c>
      <c r="G141" t="s">
        <v>242</v>
      </c>
    </row>
    <row r="142" spans="1:7" x14ac:dyDescent="0.3">
      <c r="A142">
        <v>210</v>
      </c>
      <c r="C142" t="s">
        <v>64</v>
      </c>
      <c r="D142" t="s">
        <v>69</v>
      </c>
      <c r="E142" t="s">
        <v>427</v>
      </c>
      <c r="F142" s="11" t="s">
        <v>222</v>
      </c>
      <c r="G142" t="s">
        <v>242</v>
      </c>
    </row>
    <row r="143" spans="1:7" x14ac:dyDescent="0.3">
      <c r="A143">
        <v>211</v>
      </c>
      <c r="C143" t="s">
        <v>64</v>
      </c>
      <c r="D143" t="s">
        <v>70</v>
      </c>
      <c r="E143" t="s">
        <v>428</v>
      </c>
      <c r="F143" s="11" t="s">
        <v>222</v>
      </c>
      <c r="G143" t="s">
        <v>242</v>
      </c>
    </row>
    <row r="144" spans="1:7" x14ac:dyDescent="0.3">
      <c r="A144">
        <v>212</v>
      </c>
      <c r="C144" t="s">
        <v>64</v>
      </c>
      <c r="D144" t="s">
        <v>71</v>
      </c>
      <c r="E144" t="s">
        <v>429</v>
      </c>
      <c r="F144" s="11" t="s">
        <v>222</v>
      </c>
      <c r="G144" t="s">
        <v>242</v>
      </c>
    </row>
    <row r="145" spans="1:7" x14ac:dyDescent="0.3">
      <c r="A145">
        <v>213</v>
      </c>
      <c r="C145" t="s">
        <v>64</v>
      </c>
      <c r="D145" t="s">
        <v>72</v>
      </c>
      <c r="E145" t="s">
        <v>430</v>
      </c>
      <c r="F145" s="11" t="s">
        <v>222</v>
      </c>
      <c r="G145" t="s">
        <v>242</v>
      </c>
    </row>
    <row r="146" spans="1:7" x14ac:dyDescent="0.3">
      <c r="A146">
        <v>214</v>
      </c>
      <c r="C146" t="s">
        <v>64</v>
      </c>
      <c r="D146" t="s">
        <v>73</v>
      </c>
      <c r="E146" t="s">
        <v>431</v>
      </c>
      <c r="F146" s="11" t="s">
        <v>222</v>
      </c>
      <c r="G146" t="s">
        <v>242</v>
      </c>
    </row>
    <row r="147" spans="1:7" x14ac:dyDescent="0.3">
      <c r="A147">
        <v>215</v>
      </c>
      <c r="C147" t="s">
        <v>64</v>
      </c>
      <c r="D147" t="s">
        <v>74</v>
      </c>
      <c r="E147" t="s">
        <v>432</v>
      </c>
      <c r="F147" s="11" t="s">
        <v>222</v>
      </c>
      <c r="G147" t="s">
        <v>242</v>
      </c>
    </row>
    <row r="148" spans="1:7" x14ac:dyDescent="0.3">
      <c r="A148">
        <v>216</v>
      </c>
      <c r="C148" t="s">
        <v>64</v>
      </c>
      <c r="D148" t="s">
        <v>75</v>
      </c>
      <c r="E148" t="s">
        <v>433</v>
      </c>
      <c r="F148" s="11" t="s">
        <v>222</v>
      </c>
      <c r="G148" t="s">
        <v>242</v>
      </c>
    </row>
    <row r="149" spans="1:7" x14ac:dyDescent="0.3">
      <c r="A149">
        <v>217</v>
      </c>
      <c r="C149" t="s">
        <v>64</v>
      </c>
      <c r="D149" t="s">
        <v>76</v>
      </c>
      <c r="E149" t="s">
        <v>434</v>
      </c>
      <c r="F149" s="11" t="s">
        <v>222</v>
      </c>
      <c r="G149" t="s">
        <v>242</v>
      </c>
    </row>
    <row r="150" spans="1:7" x14ac:dyDescent="0.3">
      <c r="A150">
        <v>218</v>
      </c>
      <c r="C150" t="s">
        <v>77</v>
      </c>
      <c r="D150" t="s">
        <v>28</v>
      </c>
      <c r="E150" t="s">
        <v>435</v>
      </c>
      <c r="F150" s="11" t="s">
        <v>222</v>
      </c>
      <c r="G150" t="s">
        <v>243</v>
      </c>
    </row>
    <row r="151" spans="1:7" x14ac:dyDescent="0.3">
      <c r="A151">
        <v>105</v>
      </c>
      <c r="C151" t="s">
        <v>89</v>
      </c>
      <c r="D151" t="s">
        <v>15</v>
      </c>
      <c r="E151" t="s">
        <v>370</v>
      </c>
      <c r="F151" s="11" t="s">
        <v>222</v>
      </c>
      <c r="G151" t="s">
        <v>324</v>
      </c>
    </row>
    <row r="152" spans="1:7" x14ac:dyDescent="0.3">
      <c r="A152">
        <v>106</v>
      </c>
      <c r="C152" t="s">
        <v>89</v>
      </c>
      <c r="D152" t="s">
        <v>104</v>
      </c>
      <c r="E152" t="s">
        <v>371</v>
      </c>
      <c r="F152" s="11" t="s">
        <v>222</v>
      </c>
      <c r="G152" t="s">
        <v>324</v>
      </c>
    </row>
    <row r="153" spans="1:7" x14ac:dyDescent="0.3">
      <c r="A153">
        <v>107</v>
      </c>
      <c r="C153" t="s">
        <v>89</v>
      </c>
      <c r="D153" t="s">
        <v>105</v>
      </c>
      <c r="E153" t="s">
        <v>372</v>
      </c>
      <c r="F153" s="11" t="s">
        <v>222</v>
      </c>
      <c r="G153" t="s">
        <v>324</v>
      </c>
    </row>
    <row r="154" spans="1:7" x14ac:dyDescent="0.3">
      <c r="A154">
        <v>108</v>
      </c>
      <c r="C154" t="s">
        <v>89</v>
      </c>
      <c r="D154" t="s">
        <v>106</v>
      </c>
      <c r="E154" t="s">
        <v>373</v>
      </c>
      <c r="F154" s="11" t="s">
        <v>222</v>
      </c>
      <c r="G154" t="s">
        <v>324</v>
      </c>
    </row>
    <row r="155" spans="1:7" x14ac:dyDescent="0.3">
      <c r="A155">
        <v>109</v>
      </c>
      <c r="C155" t="s">
        <v>89</v>
      </c>
      <c r="D155" t="s">
        <v>107</v>
      </c>
      <c r="E155" t="s">
        <v>374</v>
      </c>
      <c r="F155" s="11" t="s">
        <v>222</v>
      </c>
      <c r="G155" t="s">
        <v>324</v>
      </c>
    </row>
    <row r="156" spans="1:7" x14ac:dyDescent="0.3">
      <c r="A156">
        <v>110</v>
      </c>
      <c r="C156" t="s">
        <v>89</v>
      </c>
      <c r="D156" t="s">
        <v>108</v>
      </c>
      <c r="E156" t="s">
        <v>375</v>
      </c>
      <c r="F156" s="11" t="s">
        <v>222</v>
      </c>
      <c r="G156" t="s">
        <v>324</v>
      </c>
    </row>
    <row r="157" spans="1:7" x14ac:dyDescent="0.3">
      <c r="A157">
        <v>111</v>
      </c>
      <c r="C157" t="s">
        <v>89</v>
      </c>
      <c r="D157" t="s">
        <v>109</v>
      </c>
      <c r="E157" t="s">
        <v>376</v>
      </c>
      <c r="F157" s="11" t="s">
        <v>222</v>
      </c>
      <c r="G157" t="s">
        <v>324</v>
      </c>
    </row>
    <row r="158" spans="1:7" x14ac:dyDescent="0.3">
      <c r="A158">
        <v>112</v>
      </c>
      <c r="C158" t="s">
        <v>89</v>
      </c>
      <c r="D158" t="s">
        <v>110</v>
      </c>
      <c r="E158" t="s">
        <v>377</v>
      </c>
      <c r="F158" s="11" t="s">
        <v>222</v>
      </c>
      <c r="G158" t="s">
        <v>324</v>
      </c>
    </row>
    <row r="159" spans="1:7" x14ac:dyDescent="0.3">
      <c r="A159">
        <v>113</v>
      </c>
      <c r="C159" t="s">
        <v>89</v>
      </c>
      <c r="D159" t="s">
        <v>111</v>
      </c>
      <c r="E159" t="s">
        <v>378</v>
      </c>
      <c r="F159" s="11" t="s">
        <v>222</v>
      </c>
      <c r="G159" t="s">
        <v>324</v>
      </c>
    </row>
    <row r="160" spans="1:7" x14ac:dyDescent="0.3">
      <c r="A160">
        <v>114</v>
      </c>
      <c r="C160" t="s">
        <v>89</v>
      </c>
      <c r="D160" t="s">
        <v>112</v>
      </c>
      <c r="E160" t="s">
        <v>379</v>
      </c>
      <c r="F160" s="11" t="s">
        <v>222</v>
      </c>
      <c r="G160" t="s">
        <v>324</v>
      </c>
    </row>
    <row r="161" spans="1:7" x14ac:dyDescent="0.3">
      <c r="A161">
        <v>115</v>
      </c>
      <c r="C161" t="s">
        <v>89</v>
      </c>
      <c r="D161" t="s">
        <v>113</v>
      </c>
      <c r="E161" t="s">
        <v>380</v>
      </c>
      <c r="F161" s="11" t="s">
        <v>222</v>
      </c>
      <c r="G161" t="s">
        <v>324</v>
      </c>
    </row>
    <row r="162" spans="1:7" x14ac:dyDescent="0.3">
      <c r="A162">
        <v>116</v>
      </c>
      <c r="C162" t="s">
        <v>89</v>
      </c>
      <c r="D162" t="s">
        <v>114</v>
      </c>
      <c r="E162" t="s">
        <v>381</v>
      </c>
      <c r="F162" s="11" t="s">
        <v>222</v>
      </c>
      <c r="G162" t="s">
        <v>324</v>
      </c>
    </row>
    <row r="163" spans="1:7" x14ac:dyDescent="0.3">
      <c r="A163">
        <v>117</v>
      </c>
      <c r="C163" t="s">
        <v>89</v>
      </c>
      <c r="D163" t="s">
        <v>115</v>
      </c>
      <c r="E163" t="s">
        <v>382</v>
      </c>
      <c r="F163" s="11" t="s">
        <v>222</v>
      </c>
      <c r="G163" t="s">
        <v>324</v>
      </c>
    </row>
    <row r="164" spans="1:7" x14ac:dyDescent="0.3">
      <c r="A164">
        <v>105</v>
      </c>
      <c r="C164" t="s">
        <v>102</v>
      </c>
      <c r="D164" t="s">
        <v>15</v>
      </c>
      <c r="E164" t="s">
        <v>383</v>
      </c>
      <c r="F164" s="11" t="s">
        <v>222</v>
      </c>
      <c r="G164" t="s">
        <v>324</v>
      </c>
    </row>
    <row r="165" spans="1:7" x14ac:dyDescent="0.3">
      <c r="A165">
        <v>106</v>
      </c>
      <c r="C165" t="s">
        <v>102</v>
      </c>
      <c r="D165" t="s">
        <v>104</v>
      </c>
      <c r="E165" t="s">
        <v>384</v>
      </c>
      <c r="F165" s="11" t="s">
        <v>222</v>
      </c>
      <c r="G165" t="s">
        <v>324</v>
      </c>
    </row>
    <row r="166" spans="1:7" x14ac:dyDescent="0.3">
      <c r="A166">
        <v>107</v>
      </c>
      <c r="C166" t="s">
        <v>102</v>
      </c>
      <c r="D166" t="s">
        <v>105</v>
      </c>
      <c r="E166" t="s">
        <v>385</v>
      </c>
      <c r="F166" s="11" t="s">
        <v>222</v>
      </c>
      <c r="G166" t="s">
        <v>324</v>
      </c>
    </row>
    <row r="167" spans="1:7" x14ac:dyDescent="0.3">
      <c r="A167">
        <v>108</v>
      </c>
      <c r="C167" t="s">
        <v>102</v>
      </c>
      <c r="D167" t="s">
        <v>106</v>
      </c>
      <c r="E167" t="s">
        <v>386</v>
      </c>
      <c r="F167" s="11" t="s">
        <v>222</v>
      </c>
      <c r="G167" t="s">
        <v>324</v>
      </c>
    </row>
    <row r="168" spans="1:7" x14ac:dyDescent="0.3">
      <c r="A168">
        <v>109</v>
      </c>
      <c r="C168" t="s">
        <v>102</v>
      </c>
      <c r="D168" t="s">
        <v>107</v>
      </c>
      <c r="E168" t="s">
        <v>387</v>
      </c>
      <c r="F168" s="11" t="s">
        <v>222</v>
      </c>
      <c r="G168" t="s">
        <v>324</v>
      </c>
    </row>
    <row r="169" spans="1:7" x14ac:dyDescent="0.3">
      <c r="A169">
        <v>110</v>
      </c>
      <c r="C169" t="s">
        <v>102</v>
      </c>
      <c r="D169" t="s">
        <v>108</v>
      </c>
      <c r="E169" t="s">
        <v>388</v>
      </c>
      <c r="F169" s="11" t="s">
        <v>222</v>
      </c>
      <c r="G169" t="s">
        <v>324</v>
      </c>
    </row>
    <row r="170" spans="1:7" x14ac:dyDescent="0.3">
      <c r="A170">
        <v>111</v>
      </c>
      <c r="C170" t="s">
        <v>102</v>
      </c>
      <c r="D170" t="s">
        <v>109</v>
      </c>
      <c r="E170" t="s">
        <v>389</v>
      </c>
      <c r="F170" s="11" t="s">
        <v>222</v>
      </c>
      <c r="G170" t="s">
        <v>324</v>
      </c>
    </row>
    <row r="171" spans="1:7" x14ac:dyDescent="0.3">
      <c r="A171">
        <v>112</v>
      </c>
      <c r="C171" t="s">
        <v>102</v>
      </c>
      <c r="D171" t="s">
        <v>110</v>
      </c>
      <c r="E171" t="s">
        <v>390</v>
      </c>
      <c r="F171" s="11" t="s">
        <v>222</v>
      </c>
      <c r="G171" t="s">
        <v>324</v>
      </c>
    </row>
    <row r="172" spans="1:7" x14ac:dyDescent="0.3">
      <c r="A172">
        <v>113</v>
      </c>
      <c r="C172" t="s">
        <v>102</v>
      </c>
      <c r="D172" t="s">
        <v>111</v>
      </c>
      <c r="E172" t="s">
        <v>391</v>
      </c>
      <c r="F172" s="11" t="s">
        <v>222</v>
      </c>
      <c r="G172" t="s">
        <v>324</v>
      </c>
    </row>
    <row r="173" spans="1:7" x14ac:dyDescent="0.3">
      <c r="A173">
        <v>114</v>
      </c>
      <c r="C173" t="s">
        <v>102</v>
      </c>
      <c r="D173" t="s">
        <v>112</v>
      </c>
      <c r="E173" t="s">
        <v>392</v>
      </c>
      <c r="F173" s="11" t="s">
        <v>222</v>
      </c>
      <c r="G173" t="s">
        <v>324</v>
      </c>
    </row>
    <row r="174" spans="1:7" x14ac:dyDescent="0.3">
      <c r="A174">
        <v>115</v>
      </c>
      <c r="C174" t="s">
        <v>102</v>
      </c>
      <c r="D174" t="s">
        <v>113</v>
      </c>
      <c r="E174" t="s">
        <v>393</v>
      </c>
      <c r="F174" s="11" t="s">
        <v>222</v>
      </c>
      <c r="G174" t="s">
        <v>324</v>
      </c>
    </row>
    <row r="175" spans="1:7" x14ac:dyDescent="0.3">
      <c r="A175">
        <v>116</v>
      </c>
      <c r="C175" t="s">
        <v>102</v>
      </c>
      <c r="D175" t="s">
        <v>114</v>
      </c>
      <c r="E175" t="s">
        <v>394</v>
      </c>
      <c r="F175" s="11" t="s">
        <v>222</v>
      </c>
      <c r="G175" t="s">
        <v>324</v>
      </c>
    </row>
    <row r="176" spans="1:7" x14ac:dyDescent="0.3">
      <c r="A176">
        <v>117</v>
      </c>
      <c r="C176" t="s">
        <v>102</v>
      </c>
      <c r="D176" t="s">
        <v>115</v>
      </c>
      <c r="E176" t="s">
        <v>395</v>
      </c>
      <c r="F176" s="11" t="s">
        <v>222</v>
      </c>
      <c r="G176" t="s">
        <v>324</v>
      </c>
    </row>
    <row r="177" spans="1:7" x14ac:dyDescent="0.3">
      <c r="A177">
        <v>105</v>
      </c>
      <c r="C177" t="s">
        <v>103</v>
      </c>
      <c r="D177" t="s">
        <v>15</v>
      </c>
      <c r="E177" t="s">
        <v>436</v>
      </c>
      <c r="F177" s="11" t="s">
        <v>222</v>
      </c>
      <c r="G177" t="s">
        <v>324</v>
      </c>
    </row>
    <row r="178" spans="1:7" x14ac:dyDescent="0.3">
      <c r="A178">
        <v>106</v>
      </c>
      <c r="C178" t="s">
        <v>103</v>
      </c>
      <c r="D178" t="s">
        <v>104</v>
      </c>
      <c r="E178" t="s">
        <v>437</v>
      </c>
      <c r="F178" s="11" t="s">
        <v>222</v>
      </c>
      <c r="G178" t="s">
        <v>324</v>
      </c>
    </row>
    <row r="179" spans="1:7" x14ac:dyDescent="0.3">
      <c r="A179">
        <v>107</v>
      </c>
      <c r="C179" t="s">
        <v>103</v>
      </c>
      <c r="D179" t="s">
        <v>105</v>
      </c>
      <c r="E179" t="s">
        <v>438</v>
      </c>
      <c r="F179" s="11" t="s">
        <v>222</v>
      </c>
      <c r="G179" t="s">
        <v>324</v>
      </c>
    </row>
    <row r="180" spans="1:7" x14ac:dyDescent="0.3">
      <c r="A180">
        <v>108</v>
      </c>
      <c r="C180" t="s">
        <v>103</v>
      </c>
      <c r="D180" t="s">
        <v>106</v>
      </c>
      <c r="E180" t="s">
        <v>439</v>
      </c>
      <c r="F180" s="11" t="s">
        <v>222</v>
      </c>
      <c r="G180" t="s">
        <v>324</v>
      </c>
    </row>
    <row r="181" spans="1:7" x14ac:dyDescent="0.3">
      <c r="A181">
        <v>109</v>
      </c>
      <c r="C181" t="s">
        <v>103</v>
      </c>
      <c r="D181" t="s">
        <v>107</v>
      </c>
      <c r="E181" t="s">
        <v>440</v>
      </c>
      <c r="F181" s="11" t="s">
        <v>222</v>
      </c>
      <c r="G181" t="s">
        <v>324</v>
      </c>
    </row>
    <row r="182" spans="1:7" x14ac:dyDescent="0.3">
      <c r="A182">
        <v>110</v>
      </c>
      <c r="C182" t="s">
        <v>103</v>
      </c>
      <c r="D182" t="s">
        <v>108</v>
      </c>
      <c r="E182" t="s">
        <v>441</v>
      </c>
      <c r="F182" s="11" t="s">
        <v>222</v>
      </c>
      <c r="G182" t="s">
        <v>324</v>
      </c>
    </row>
    <row r="183" spans="1:7" x14ac:dyDescent="0.3">
      <c r="A183">
        <v>111</v>
      </c>
      <c r="C183" t="s">
        <v>103</v>
      </c>
      <c r="D183" t="s">
        <v>109</v>
      </c>
      <c r="E183" t="s">
        <v>442</v>
      </c>
      <c r="F183" s="11" t="s">
        <v>222</v>
      </c>
      <c r="G183" t="s">
        <v>324</v>
      </c>
    </row>
    <row r="184" spans="1:7" x14ac:dyDescent="0.3">
      <c r="A184">
        <v>112</v>
      </c>
      <c r="C184" t="s">
        <v>103</v>
      </c>
      <c r="D184" t="s">
        <v>110</v>
      </c>
      <c r="E184" t="s">
        <v>443</v>
      </c>
      <c r="F184" s="11" t="s">
        <v>222</v>
      </c>
      <c r="G184" t="s">
        <v>324</v>
      </c>
    </row>
    <row r="185" spans="1:7" x14ac:dyDescent="0.3">
      <c r="A185">
        <v>113</v>
      </c>
      <c r="C185" t="s">
        <v>103</v>
      </c>
      <c r="D185" t="s">
        <v>111</v>
      </c>
      <c r="E185" t="s">
        <v>444</v>
      </c>
      <c r="F185" s="11" t="s">
        <v>222</v>
      </c>
      <c r="G185" t="s">
        <v>324</v>
      </c>
    </row>
    <row r="186" spans="1:7" x14ac:dyDescent="0.3">
      <c r="A186">
        <v>114</v>
      </c>
      <c r="C186" t="s">
        <v>103</v>
      </c>
      <c r="D186" t="s">
        <v>112</v>
      </c>
      <c r="E186" t="s">
        <v>445</v>
      </c>
      <c r="F186" s="11" t="s">
        <v>222</v>
      </c>
      <c r="G186" t="s">
        <v>324</v>
      </c>
    </row>
    <row r="187" spans="1:7" x14ac:dyDescent="0.3">
      <c r="A187">
        <v>115</v>
      </c>
      <c r="C187" t="s">
        <v>103</v>
      </c>
      <c r="D187" t="s">
        <v>113</v>
      </c>
      <c r="E187" t="s">
        <v>446</v>
      </c>
      <c r="F187" s="11" t="s">
        <v>222</v>
      </c>
      <c r="G187" t="s">
        <v>324</v>
      </c>
    </row>
    <row r="188" spans="1:7" x14ac:dyDescent="0.3">
      <c r="A188">
        <v>116</v>
      </c>
      <c r="C188" t="s">
        <v>103</v>
      </c>
      <c r="D188" t="s">
        <v>114</v>
      </c>
      <c r="E188" t="s">
        <v>447</v>
      </c>
      <c r="F188" s="11" t="s">
        <v>222</v>
      </c>
      <c r="G188" t="s">
        <v>324</v>
      </c>
    </row>
    <row r="189" spans="1:7" x14ac:dyDescent="0.3">
      <c r="A189">
        <v>117</v>
      </c>
      <c r="C189" t="s">
        <v>103</v>
      </c>
      <c r="D189" t="s">
        <v>115</v>
      </c>
      <c r="E189" t="s">
        <v>448</v>
      </c>
      <c r="F189" s="11" t="s">
        <v>222</v>
      </c>
      <c r="G189" t="s">
        <v>324</v>
      </c>
    </row>
    <row r="190" spans="1:7" x14ac:dyDescent="0.3">
      <c r="A190">
        <v>118</v>
      </c>
      <c r="C190" t="s">
        <v>116</v>
      </c>
      <c r="D190" t="s">
        <v>15</v>
      </c>
      <c r="E190" t="s">
        <v>449</v>
      </c>
      <c r="F190" s="11" t="s">
        <v>222</v>
      </c>
      <c r="G190" t="s">
        <v>324</v>
      </c>
    </row>
    <row r="191" spans="1:7" x14ac:dyDescent="0.3">
      <c r="A191">
        <v>119</v>
      </c>
      <c r="C191" t="s">
        <v>116</v>
      </c>
      <c r="D191" t="s">
        <v>117</v>
      </c>
      <c r="E191" t="s">
        <v>450</v>
      </c>
      <c r="F191" s="11" t="s">
        <v>222</v>
      </c>
      <c r="G191" t="s">
        <v>324</v>
      </c>
    </row>
    <row r="192" spans="1:7" x14ac:dyDescent="0.3">
      <c r="A192">
        <v>120</v>
      </c>
      <c r="C192" t="s">
        <v>116</v>
      </c>
      <c r="D192" t="s">
        <v>118</v>
      </c>
      <c r="E192" t="s">
        <v>451</v>
      </c>
      <c r="F192" s="11" t="s">
        <v>222</v>
      </c>
      <c r="G192" t="s">
        <v>324</v>
      </c>
    </row>
    <row r="193" spans="1:7" x14ac:dyDescent="0.3">
      <c r="A193">
        <v>121</v>
      </c>
      <c r="C193" t="s">
        <v>116</v>
      </c>
      <c r="D193" t="s">
        <v>119</v>
      </c>
      <c r="E193" t="s">
        <v>452</v>
      </c>
      <c r="F193" s="11" t="s">
        <v>222</v>
      </c>
      <c r="G193" t="s">
        <v>324</v>
      </c>
    </row>
    <row r="194" spans="1:7" x14ac:dyDescent="0.3">
      <c r="A194">
        <v>122</v>
      </c>
      <c r="C194" t="s">
        <v>116</v>
      </c>
      <c r="D194" t="s">
        <v>120</v>
      </c>
      <c r="E194" t="s">
        <v>453</v>
      </c>
      <c r="F194" s="11" t="s">
        <v>222</v>
      </c>
      <c r="G194" t="s">
        <v>324</v>
      </c>
    </row>
    <row r="195" spans="1:7" x14ac:dyDescent="0.3">
      <c r="A195">
        <v>123</v>
      </c>
      <c r="C195" t="s">
        <v>116</v>
      </c>
      <c r="D195" t="s">
        <v>121</v>
      </c>
      <c r="E195" t="s">
        <v>454</v>
      </c>
      <c r="F195" s="11" t="s">
        <v>222</v>
      </c>
      <c r="G195" t="s">
        <v>324</v>
      </c>
    </row>
    <row r="196" spans="1:7" x14ac:dyDescent="0.3">
      <c r="A196">
        <v>124</v>
      </c>
      <c r="C196" t="s">
        <v>116</v>
      </c>
      <c r="D196" t="s">
        <v>122</v>
      </c>
      <c r="E196" t="s">
        <v>455</v>
      </c>
      <c r="F196" s="11" t="s">
        <v>222</v>
      </c>
      <c r="G196" t="s">
        <v>324</v>
      </c>
    </row>
    <row r="197" spans="1:7" x14ac:dyDescent="0.3">
      <c r="A197">
        <v>125</v>
      </c>
      <c r="C197" t="s">
        <v>116</v>
      </c>
      <c r="D197" t="s">
        <v>123</v>
      </c>
      <c r="E197" t="s">
        <v>456</v>
      </c>
      <c r="F197" s="11" t="s">
        <v>222</v>
      </c>
      <c r="G197" t="s">
        <v>324</v>
      </c>
    </row>
    <row r="198" spans="1:7" x14ac:dyDescent="0.3">
      <c r="A198">
        <v>126</v>
      </c>
      <c r="C198" t="s">
        <v>116</v>
      </c>
      <c r="D198" t="s">
        <v>124</v>
      </c>
      <c r="E198" t="s">
        <v>457</v>
      </c>
      <c r="F198" s="11" t="s">
        <v>222</v>
      </c>
      <c r="G198" t="s">
        <v>324</v>
      </c>
    </row>
    <row r="199" spans="1:7" x14ac:dyDescent="0.3">
      <c r="A199">
        <v>127</v>
      </c>
      <c r="C199" t="s">
        <v>116</v>
      </c>
      <c r="D199" t="s">
        <v>125</v>
      </c>
      <c r="E199" t="s">
        <v>458</v>
      </c>
      <c r="F199" s="11" t="s">
        <v>222</v>
      </c>
      <c r="G199" t="s">
        <v>324</v>
      </c>
    </row>
    <row r="200" spans="1:7" x14ac:dyDescent="0.3">
      <c r="A200">
        <v>128</v>
      </c>
      <c r="C200" t="s">
        <v>116</v>
      </c>
      <c r="D200" t="s">
        <v>126</v>
      </c>
      <c r="E200" t="s">
        <v>459</v>
      </c>
      <c r="F200" s="11" t="s">
        <v>222</v>
      </c>
      <c r="G200" t="s">
        <v>324</v>
      </c>
    </row>
    <row r="201" spans="1:7" x14ac:dyDescent="0.3">
      <c r="A201">
        <v>129</v>
      </c>
      <c r="C201" t="s">
        <v>116</v>
      </c>
      <c r="D201" t="s">
        <v>127</v>
      </c>
      <c r="E201" t="s">
        <v>460</v>
      </c>
      <c r="F201" s="11" t="s">
        <v>222</v>
      </c>
      <c r="G201" t="s">
        <v>324</v>
      </c>
    </row>
    <row r="202" spans="1:7" x14ac:dyDescent="0.3">
      <c r="A202">
        <v>130</v>
      </c>
      <c r="C202" t="s">
        <v>116</v>
      </c>
      <c r="D202" t="s">
        <v>128</v>
      </c>
      <c r="E202" t="s">
        <v>461</v>
      </c>
      <c r="F202" s="11" t="s">
        <v>222</v>
      </c>
      <c r="G202" t="s">
        <v>324</v>
      </c>
    </row>
    <row r="203" spans="1:7" x14ac:dyDescent="0.3">
      <c r="A203">
        <v>144</v>
      </c>
      <c r="C203" t="s">
        <v>130</v>
      </c>
      <c r="D203" t="s">
        <v>15</v>
      </c>
      <c r="E203" t="s">
        <v>475</v>
      </c>
      <c r="F203" s="11" t="s">
        <v>222</v>
      </c>
      <c r="G203" t="s">
        <v>324</v>
      </c>
    </row>
    <row r="204" spans="1:7" x14ac:dyDescent="0.3">
      <c r="A204">
        <v>145</v>
      </c>
      <c r="C204" t="s">
        <v>130</v>
      </c>
      <c r="D204" t="s">
        <v>131</v>
      </c>
      <c r="E204" t="s">
        <v>476</v>
      </c>
      <c r="F204" s="11" t="s">
        <v>222</v>
      </c>
      <c r="G204" t="s">
        <v>324</v>
      </c>
    </row>
    <row r="205" spans="1:7" x14ac:dyDescent="0.3">
      <c r="A205">
        <v>146</v>
      </c>
      <c r="C205" t="s">
        <v>130</v>
      </c>
      <c r="D205" t="s">
        <v>132</v>
      </c>
      <c r="E205" t="s">
        <v>477</v>
      </c>
      <c r="F205" s="11" t="s">
        <v>222</v>
      </c>
      <c r="G205" t="s">
        <v>324</v>
      </c>
    </row>
    <row r="206" spans="1:7" x14ac:dyDescent="0.3">
      <c r="A206">
        <v>147</v>
      </c>
      <c r="C206" t="s">
        <v>130</v>
      </c>
      <c r="D206" t="s">
        <v>133</v>
      </c>
      <c r="E206" t="s">
        <v>478</v>
      </c>
      <c r="F206" s="11" t="s">
        <v>222</v>
      </c>
      <c r="G206" t="s">
        <v>324</v>
      </c>
    </row>
    <row r="207" spans="1:7" x14ac:dyDescent="0.3">
      <c r="A207">
        <v>148</v>
      </c>
      <c r="C207" t="s">
        <v>130</v>
      </c>
      <c r="D207" t="s">
        <v>134</v>
      </c>
      <c r="E207" t="s">
        <v>479</v>
      </c>
      <c r="F207" s="11" t="s">
        <v>222</v>
      </c>
      <c r="G207" t="s">
        <v>324</v>
      </c>
    </row>
    <row r="208" spans="1:7" x14ac:dyDescent="0.3">
      <c r="A208">
        <v>149</v>
      </c>
      <c r="C208" t="s">
        <v>130</v>
      </c>
      <c r="D208" t="s">
        <v>135</v>
      </c>
      <c r="E208" t="s">
        <v>480</v>
      </c>
      <c r="F208" s="11" t="s">
        <v>222</v>
      </c>
      <c r="G208" t="s">
        <v>324</v>
      </c>
    </row>
    <row r="209" spans="1:7" x14ac:dyDescent="0.3">
      <c r="A209">
        <v>150</v>
      </c>
      <c r="C209" t="s">
        <v>130</v>
      </c>
      <c r="D209" t="s">
        <v>136</v>
      </c>
      <c r="E209" t="s">
        <v>481</v>
      </c>
      <c r="F209" s="11" t="s">
        <v>222</v>
      </c>
      <c r="G209" t="s">
        <v>324</v>
      </c>
    </row>
    <row r="210" spans="1:7" x14ac:dyDescent="0.3">
      <c r="A210">
        <v>151</v>
      </c>
      <c r="C210" t="s">
        <v>130</v>
      </c>
      <c r="D210" t="s">
        <v>137</v>
      </c>
      <c r="E210" t="s">
        <v>482</v>
      </c>
      <c r="F210" s="11" t="s">
        <v>222</v>
      </c>
      <c r="G210" t="s">
        <v>324</v>
      </c>
    </row>
    <row r="211" spans="1:7" x14ac:dyDescent="0.3">
      <c r="A211">
        <v>152</v>
      </c>
      <c r="C211" t="s">
        <v>130</v>
      </c>
      <c r="D211" t="s">
        <v>138</v>
      </c>
      <c r="E211" t="s">
        <v>483</v>
      </c>
      <c r="F211" s="11" t="s">
        <v>222</v>
      </c>
      <c r="G211" t="s">
        <v>324</v>
      </c>
    </row>
    <row r="212" spans="1:7" x14ac:dyDescent="0.3">
      <c r="A212">
        <v>153</v>
      </c>
      <c r="C212" t="s">
        <v>130</v>
      </c>
      <c r="D212" t="s">
        <v>139</v>
      </c>
      <c r="E212" t="s">
        <v>484</v>
      </c>
      <c r="F212" s="11" t="s">
        <v>222</v>
      </c>
      <c r="G212" t="s">
        <v>324</v>
      </c>
    </row>
    <row r="213" spans="1:7" x14ac:dyDescent="0.3">
      <c r="A213">
        <v>154</v>
      </c>
      <c r="C213" t="s">
        <v>130</v>
      </c>
      <c r="D213" t="s">
        <v>140</v>
      </c>
      <c r="E213" t="s">
        <v>485</v>
      </c>
      <c r="F213" s="11" t="s">
        <v>222</v>
      </c>
      <c r="G213" t="s">
        <v>324</v>
      </c>
    </row>
    <row r="214" spans="1:7" x14ac:dyDescent="0.3">
      <c r="A214">
        <v>155</v>
      </c>
      <c r="C214" t="s">
        <v>130</v>
      </c>
      <c r="D214" t="s">
        <v>141</v>
      </c>
      <c r="E214" t="s">
        <v>486</v>
      </c>
      <c r="F214" s="11" t="s">
        <v>222</v>
      </c>
      <c r="G214" t="s">
        <v>324</v>
      </c>
    </row>
    <row r="215" spans="1:7" x14ac:dyDescent="0.3">
      <c r="A215">
        <v>156</v>
      </c>
      <c r="C215" t="s">
        <v>130</v>
      </c>
      <c r="D215" t="s">
        <v>142</v>
      </c>
      <c r="E215" t="s">
        <v>487</v>
      </c>
      <c r="F215" s="11" t="s">
        <v>222</v>
      </c>
      <c r="G215" t="s">
        <v>324</v>
      </c>
    </row>
    <row r="216" spans="1:7" x14ac:dyDescent="0.3">
      <c r="A216">
        <v>157</v>
      </c>
      <c r="C216" t="s">
        <v>143</v>
      </c>
      <c r="D216" t="s">
        <v>15</v>
      </c>
      <c r="E216" t="s">
        <v>488</v>
      </c>
      <c r="F216" s="11" t="s">
        <v>222</v>
      </c>
      <c r="G216" t="s">
        <v>324</v>
      </c>
    </row>
    <row r="217" spans="1:7" x14ac:dyDescent="0.3">
      <c r="A217">
        <v>158</v>
      </c>
      <c r="C217" t="s">
        <v>143</v>
      </c>
      <c r="D217" t="s">
        <v>144</v>
      </c>
      <c r="E217" t="s">
        <v>489</v>
      </c>
      <c r="F217" s="11" t="s">
        <v>222</v>
      </c>
      <c r="G217" t="s">
        <v>324</v>
      </c>
    </row>
    <row r="218" spans="1:7" x14ac:dyDescent="0.3">
      <c r="A218">
        <v>159</v>
      </c>
      <c r="C218" t="s">
        <v>143</v>
      </c>
      <c r="D218" t="s">
        <v>145</v>
      </c>
      <c r="E218" t="s">
        <v>490</v>
      </c>
      <c r="F218" s="11" t="s">
        <v>222</v>
      </c>
      <c r="G218" t="s">
        <v>324</v>
      </c>
    </row>
    <row r="219" spans="1:7" x14ac:dyDescent="0.3">
      <c r="A219">
        <v>160</v>
      </c>
      <c r="C219" t="s">
        <v>143</v>
      </c>
      <c r="D219" t="s">
        <v>146</v>
      </c>
      <c r="E219" t="s">
        <v>491</v>
      </c>
      <c r="F219" s="11" t="s">
        <v>222</v>
      </c>
      <c r="G219" t="s">
        <v>324</v>
      </c>
    </row>
    <row r="220" spans="1:7" x14ac:dyDescent="0.3">
      <c r="A220">
        <v>161</v>
      </c>
      <c r="C220" t="s">
        <v>143</v>
      </c>
      <c r="D220" t="s">
        <v>147</v>
      </c>
      <c r="E220" t="s">
        <v>492</v>
      </c>
      <c r="F220" s="11" t="s">
        <v>222</v>
      </c>
      <c r="G220" t="s">
        <v>324</v>
      </c>
    </row>
    <row r="221" spans="1:7" x14ac:dyDescent="0.3">
      <c r="A221">
        <v>162</v>
      </c>
      <c r="C221" t="s">
        <v>143</v>
      </c>
      <c r="D221" t="s">
        <v>148</v>
      </c>
      <c r="E221" t="s">
        <v>493</v>
      </c>
      <c r="F221" s="11" t="s">
        <v>222</v>
      </c>
      <c r="G221" t="s">
        <v>324</v>
      </c>
    </row>
    <row r="222" spans="1:7" x14ac:dyDescent="0.3">
      <c r="A222">
        <v>163</v>
      </c>
      <c r="C222" t="s">
        <v>143</v>
      </c>
      <c r="D222" t="s">
        <v>149</v>
      </c>
      <c r="E222" t="s">
        <v>494</v>
      </c>
      <c r="F222" s="11" t="s">
        <v>222</v>
      </c>
      <c r="G222" t="s">
        <v>324</v>
      </c>
    </row>
    <row r="223" spans="1:7" x14ac:dyDescent="0.3">
      <c r="A223">
        <v>164</v>
      </c>
      <c r="C223" t="s">
        <v>143</v>
      </c>
      <c r="D223" t="s">
        <v>150</v>
      </c>
      <c r="E223" t="s">
        <v>495</v>
      </c>
      <c r="F223" s="11" t="s">
        <v>222</v>
      </c>
      <c r="G223" t="s">
        <v>324</v>
      </c>
    </row>
    <row r="224" spans="1:7" x14ac:dyDescent="0.3">
      <c r="A224">
        <v>165</v>
      </c>
      <c r="C224" t="s">
        <v>143</v>
      </c>
      <c r="D224" t="s">
        <v>151</v>
      </c>
      <c r="E224" t="s">
        <v>496</v>
      </c>
      <c r="F224" s="11" t="s">
        <v>222</v>
      </c>
      <c r="G224" t="s">
        <v>324</v>
      </c>
    </row>
    <row r="225" spans="1:7" x14ac:dyDescent="0.3">
      <c r="A225">
        <v>166</v>
      </c>
      <c r="C225" t="s">
        <v>143</v>
      </c>
      <c r="D225" t="s">
        <v>152</v>
      </c>
      <c r="E225" t="s">
        <v>497</v>
      </c>
      <c r="F225" s="11" t="s">
        <v>222</v>
      </c>
      <c r="G225" t="s">
        <v>324</v>
      </c>
    </row>
    <row r="226" spans="1:7" x14ac:dyDescent="0.3">
      <c r="A226">
        <v>167</v>
      </c>
      <c r="C226" t="s">
        <v>143</v>
      </c>
      <c r="D226" t="s">
        <v>153</v>
      </c>
      <c r="E226" t="s">
        <v>498</v>
      </c>
      <c r="F226" s="11" t="s">
        <v>222</v>
      </c>
      <c r="G226" t="s">
        <v>324</v>
      </c>
    </row>
    <row r="227" spans="1:7" x14ac:dyDescent="0.3">
      <c r="A227">
        <v>168</v>
      </c>
      <c r="C227" t="s">
        <v>143</v>
      </c>
      <c r="D227" t="s">
        <v>154</v>
      </c>
      <c r="E227" t="s">
        <v>499</v>
      </c>
      <c r="F227" s="11" t="s">
        <v>222</v>
      </c>
      <c r="G227" t="s">
        <v>324</v>
      </c>
    </row>
    <row r="228" spans="1:7" x14ac:dyDescent="0.3">
      <c r="A228">
        <v>169</v>
      </c>
      <c r="C228" t="s">
        <v>143</v>
      </c>
      <c r="D228" t="s">
        <v>155</v>
      </c>
      <c r="E228" t="s">
        <v>500</v>
      </c>
      <c r="F228" s="11" t="s">
        <v>222</v>
      </c>
      <c r="G228" t="s">
        <v>324</v>
      </c>
    </row>
    <row r="229" spans="1:7" x14ac:dyDescent="0.3">
      <c r="A229">
        <v>170</v>
      </c>
      <c r="C229" t="s">
        <v>156</v>
      </c>
      <c r="D229" t="s">
        <v>15</v>
      </c>
      <c r="E229" t="s">
        <v>501</v>
      </c>
      <c r="F229" s="11" t="s">
        <v>222</v>
      </c>
      <c r="G229" t="s">
        <v>324</v>
      </c>
    </row>
    <row r="230" spans="1:7" x14ac:dyDescent="0.3">
      <c r="A230">
        <v>171</v>
      </c>
      <c r="C230" t="s">
        <v>156</v>
      </c>
      <c r="D230" t="s">
        <v>157</v>
      </c>
      <c r="E230" t="s">
        <v>502</v>
      </c>
      <c r="F230" s="11" t="s">
        <v>222</v>
      </c>
      <c r="G230" t="s">
        <v>324</v>
      </c>
    </row>
    <row r="231" spans="1:7" x14ac:dyDescent="0.3">
      <c r="A231">
        <v>172</v>
      </c>
      <c r="C231" t="s">
        <v>156</v>
      </c>
      <c r="D231" t="s">
        <v>158</v>
      </c>
      <c r="E231" t="s">
        <v>503</v>
      </c>
      <c r="F231" s="11" t="s">
        <v>222</v>
      </c>
      <c r="G231" t="s">
        <v>324</v>
      </c>
    </row>
    <row r="232" spans="1:7" x14ac:dyDescent="0.3">
      <c r="A232">
        <v>173</v>
      </c>
      <c r="C232" t="s">
        <v>156</v>
      </c>
      <c r="D232" t="s">
        <v>159</v>
      </c>
      <c r="E232" t="s">
        <v>504</v>
      </c>
      <c r="F232" s="11" t="s">
        <v>222</v>
      </c>
      <c r="G232" t="s">
        <v>324</v>
      </c>
    </row>
    <row r="233" spans="1:7" x14ac:dyDescent="0.3">
      <c r="A233">
        <v>174</v>
      </c>
      <c r="C233" t="s">
        <v>156</v>
      </c>
      <c r="D233" t="s">
        <v>160</v>
      </c>
      <c r="E233" t="s">
        <v>505</v>
      </c>
      <c r="F233" s="11" t="s">
        <v>222</v>
      </c>
      <c r="G233" t="s">
        <v>324</v>
      </c>
    </row>
    <row r="234" spans="1:7" x14ac:dyDescent="0.3">
      <c r="A234">
        <v>175</v>
      </c>
      <c r="C234" t="s">
        <v>156</v>
      </c>
      <c r="D234" t="s">
        <v>161</v>
      </c>
      <c r="E234" t="s">
        <v>506</v>
      </c>
      <c r="F234" s="11" t="s">
        <v>222</v>
      </c>
      <c r="G234" t="s">
        <v>324</v>
      </c>
    </row>
    <row r="235" spans="1:7" x14ac:dyDescent="0.3">
      <c r="A235">
        <v>176</v>
      </c>
      <c r="C235" t="s">
        <v>156</v>
      </c>
      <c r="D235" t="s">
        <v>162</v>
      </c>
      <c r="E235" t="s">
        <v>507</v>
      </c>
      <c r="F235" s="11" t="s">
        <v>222</v>
      </c>
      <c r="G235" t="s">
        <v>324</v>
      </c>
    </row>
    <row r="236" spans="1:7" x14ac:dyDescent="0.3">
      <c r="A236">
        <v>177</v>
      </c>
      <c r="C236" t="s">
        <v>156</v>
      </c>
      <c r="D236" t="s">
        <v>163</v>
      </c>
      <c r="E236" t="s">
        <v>508</v>
      </c>
      <c r="F236" s="11" t="s">
        <v>222</v>
      </c>
      <c r="G236" t="s">
        <v>324</v>
      </c>
    </row>
    <row r="237" spans="1:7" x14ac:dyDescent="0.3">
      <c r="A237">
        <v>178</v>
      </c>
      <c r="C237" t="s">
        <v>156</v>
      </c>
      <c r="D237" t="s">
        <v>164</v>
      </c>
      <c r="E237" t="s">
        <v>509</v>
      </c>
      <c r="F237" s="11" t="s">
        <v>222</v>
      </c>
      <c r="G237" t="s">
        <v>324</v>
      </c>
    </row>
    <row r="238" spans="1:7" x14ac:dyDescent="0.3">
      <c r="A238">
        <v>179</v>
      </c>
      <c r="C238" t="s">
        <v>156</v>
      </c>
      <c r="D238" t="s">
        <v>165</v>
      </c>
      <c r="E238" t="s">
        <v>510</v>
      </c>
      <c r="F238" s="11" t="s">
        <v>222</v>
      </c>
      <c r="G238" t="s">
        <v>324</v>
      </c>
    </row>
    <row r="239" spans="1:7" x14ac:dyDescent="0.3">
      <c r="A239">
        <v>180</v>
      </c>
      <c r="C239" t="s">
        <v>156</v>
      </c>
      <c r="D239" t="s">
        <v>166</v>
      </c>
      <c r="E239" t="s">
        <v>511</v>
      </c>
      <c r="F239" s="11" t="s">
        <v>222</v>
      </c>
      <c r="G239" t="s">
        <v>324</v>
      </c>
    </row>
    <row r="240" spans="1:7" x14ac:dyDescent="0.3">
      <c r="A240">
        <v>181</v>
      </c>
      <c r="C240" t="s">
        <v>156</v>
      </c>
      <c r="D240" t="s">
        <v>167</v>
      </c>
      <c r="E240" t="s">
        <v>512</v>
      </c>
      <c r="F240" s="11" t="s">
        <v>222</v>
      </c>
      <c r="G240" t="s">
        <v>324</v>
      </c>
    </row>
    <row r="241" spans="1:7" x14ac:dyDescent="0.3">
      <c r="A241">
        <v>182</v>
      </c>
      <c r="C241" t="s">
        <v>156</v>
      </c>
      <c r="D241" t="s">
        <v>168</v>
      </c>
      <c r="E241" t="s">
        <v>513</v>
      </c>
      <c r="F241" s="11" t="s">
        <v>222</v>
      </c>
      <c r="G241" t="s">
        <v>324</v>
      </c>
    </row>
    <row r="242" spans="1:7" x14ac:dyDescent="0.3">
      <c r="A242">
        <v>185</v>
      </c>
      <c r="C242" t="s">
        <v>171</v>
      </c>
      <c r="D242" t="s">
        <v>28</v>
      </c>
      <c r="E242" t="s">
        <v>514</v>
      </c>
      <c r="F242" s="11" t="s">
        <v>222</v>
      </c>
      <c r="G242" t="s">
        <v>325</v>
      </c>
    </row>
    <row r="243" spans="1:7" x14ac:dyDescent="0.3">
      <c r="A243">
        <v>186</v>
      </c>
      <c r="C243" t="s">
        <v>172</v>
      </c>
      <c r="D243" t="s">
        <v>28</v>
      </c>
      <c r="E243" t="s">
        <v>515</v>
      </c>
      <c r="F243" s="11" t="s">
        <v>222</v>
      </c>
      <c r="G243" t="s">
        <v>325</v>
      </c>
    </row>
    <row r="244" spans="1:7" x14ac:dyDescent="0.3">
      <c r="A244">
        <v>187</v>
      </c>
      <c r="C244" t="s">
        <v>173</v>
      </c>
      <c r="D244" t="s">
        <v>28</v>
      </c>
      <c r="E244" t="s">
        <v>516</v>
      </c>
      <c r="F244" s="11" t="s">
        <v>222</v>
      </c>
      <c r="G244" t="s">
        <v>325</v>
      </c>
    </row>
  </sheetData>
  <autoFilter ref="A2:J121">
    <sortState ref="A3:J761">
      <sortCondition ref="A2:A197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96"/>
  <sheetViews>
    <sheetView topLeftCell="A26" zoomScale="55" zoomScaleNormal="55" workbookViewId="0">
      <selection activeCell="F81" sqref="F28:F81"/>
    </sheetView>
  </sheetViews>
  <sheetFormatPr defaultRowHeight="14.4" x14ac:dyDescent="0.3"/>
  <cols>
    <col min="1" max="1" width="14.88671875" customWidth="1"/>
    <col min="2" max="2" width="8.44140625" bestFit="1" customWidth="1"/>
    <col min="3" max="3" width="6.109375" bestFit="1" customWidth="1"/>
    <col min="4" max="4" width="19.33203125" bestFit="1" customWidth="1"/>
    <col min="5" max="6" width="11.6640625" bestFit="1" customWidth="1"/>
    <col min="7" max="8" width="14.5546875" bestFit="1" customWidth="1"/>
    <col min="9" max="9" width="6" bestFit="1" customWidth="1"/>
    <col min="10" max="10" width="8.109375" bestFit="1" customWidth="1"/>
    <col min="11" max="11" width="5" bestFit="1" customWidth="1"/>
    <col min="12" max="12" width="4.88671875" bestFit="1" customWidth="1"/>
    <col min="13" max="13" width="12.6640625" customWidth="1"/>
    <col min="14" max="14" width="10.109375" customWidth="1"/>
    <col min="15" max="15" width="4.109375" bestFit="1" customWidth="1"/>
    <col min="16" max="16" width="7.6640625" customWidth="1"/>
    <col min="32" max="32" width="14.44140625" customWidth="1"/>
  </cols>
  <sheetData>
    <row r="1" spans="1:27" ht="15" x14ac:dyDescent="0.25">
      <c r="C1" s="3"/>
      <c r="D1" s="3"/>
      <c r="E1" s="3"/>
      <c r="F1" s="3"/>
      <c r="G1" s="3"/>
      <c r="H1" s="3"/>
      <c r="J1" s="3" t="s">
        <v>174</v>
      </c>
      <c r="K1" s="3">
        <v>0</v>
      </c>
      <c r="L1" s="3" t="s">
        <v>175</v>
      </c>
      <c r="M1" s="3" t="s">
        <v>176</v>
      </c>
      <c r="N1" s="3" t="s">
        <v>177</v>
      </c>
      <c r="O1" s="3" t="s">
        <v>178</v>
      </c>
      <c r="P1" s="3" t="s">
        <v>179</v>
      </c>
      <c r="Q1" s="3" t="s">
        <v>180</v>
      </c>
      <c r="R1" s="4" t="s">
        <v>181</v>
      </c>
      <c r="S1" s="3" t="s">
        <v>182</v>
      </c>
      <c r="T1" s="3" t="s">
        <v>183</v>
      </c>
      <c r="U1" s="3" t="s">
        <v>184</v>
      </c>
      <c r="V1" s="3" t="s">
        <v>185</v>
      </c>
      <c r="W1" s="3" t="s">
        <v>186</v>
      </c>
      <c r="X1" s="3" t="s">
        <v>187</v>
      </c>
      <c r="Y1" s="3" t="s">
        <v>188</v>
      </c>
      <c r="Z1" s="3"/>
    </row>
    <row r="2" spans="1:27" ht="30" x14ac:dyDescent="0.25">
      <c r="A2" s="3" t="s">
        <v>189</v>
      </c>
      <c r="B2" s="6" t="s">
        <v>213</v>
      </c>
      <c r="C2" s="3" t="s">
        <v>174</v>
      </c>
      <c r="D2" s="3" t="s">
        <v>210</v>
      </c>
      <c r="E2" s="3" t="s">
        <v>211</v>
      </c>
      <c r="F2" s="3" t="s">
        <v>214</v>
      </c>
      <c r="G2" s="6" t="s">
        <v>215</v>
      </c>
      <c r="H2" s="6" t="s">
        <v>216</v>
      </c>
      <c r="I2" s="3"/>
      <c r="J2" s="3">
        <v>15</v>
      </c>
      <c r="K2" s="3">
        <v>14</v>
      </c>
      <c r="L2" s="3">
        <v>13</v>
      </c>
      <c r="M2" s="3">
        <v>12</v>
      </c>
      <c r="N2" s="3">
        <v>11</v>
      </c>
      <c r="O2" s="3">
        <v>10</v>
      </c>
      <c r="P2" s="3">
        <v>9</v>
      </c>
      <c r="Q2" s="3">
        <v>8</v>
      </c>
      <c r="R2" s="4">
        <v>7</v>
      </c>
      <c r="S2" s="3">
        <v>6</v>
      </c>
      <c r="T2" s="3">
        <v>5</v>
      </c>
      <c r="U2" s="3">
        <v>4</v>
      </c>
      <c r="V2" s="3">
        <v>3</v>
      </c>
      <c r="W2" s="3">
        <v>2</v>
      </c>
      <c r="X2" s="3">
        <v>1</v>
      </c>
      <c r="Y2" s="3">
        <v>0</v>
      </c>
      <c r="Z2" s="3"/>
    </row>
    <row r="3" spans="1:27" ht="15" x14ac:dyDescent="0.25">
      <c r="A3" s="3" t="s">
        <v>193</v>
      </c>
      <c r="B3" s="3">
        <f>CalcTxValue(C3:E3)</f>
        <v>64</v>
      </c>
      <c r="C3" s="3">
        <v>0</v>
      </c>
      <c r="D3" s="3">
        <v>0</v>
      </c>
      <c r="E3" s="3">
        <v>0</v>
      </c>
      <c r="F3" s="3">
        <f>ROUNDUP(MOD(E3/2,1),0)</f>
        <v>0</v>
      </c>
      <c r="G3" s="3">
        <f>B3*2+F3</f>
        <v>128</v>
      </c>
      <c r="H3" s="3" t="str">
        <f>DEC2HEX(G3,4)</f>
        <v>0080</v>
      </c>
      <c r="J3" s="3">
        <f t="shared" ref="J3:J22" si="0">MOD(INT(G3/2^$J$2),2)</f>
        <v>0</v>
      </c>
      <c r="K3" s="3">
        <f t="shared" ref="K3:K22" si="1">MOD(INT(G3/2^$K$2),2)</f>
        <v>0</v>
      </c>
      <c r="L3" s="3">
        <f t="shared" ref="L3:L22" si="2">MOD(INT(G3/2^$L$2),2)</f>
        <v>0</v>
      </c>
      <c r="M3" s="3">
        <f t="shared" ref="M3:M22" si="3">MOD(INT(G3/2^$M$2),2)</f>
        <v>0</v>
      </c>
      <c r="N3" s="3">
        <f t="shared" ref="N3:N22" si="4">MOD(INT(G3/2^$N$2),2)</f>
        <v>0</v>
      </c>
      <c r="O3" s="3">
        <f t="shared" ref="O3:O22" si="5">MOD(INT(G3/2^$O$2),2)</f>
        <v>0</v>
      </c>
      <c r="P3" s="3">
        <f t="shared" ref="P3:P22" si="6">MOD(INT(G3/2^$P$2),2)</f>
        <v>0</v>
      </c>
      <c r="Q3" s="3">
        <f t="shared" ref="Q3:Q22" si="7">MOD(INT(G3/2^$Q$2),2)</f>
        <v>0</v>
      </c>
      <c r="R3" s="4">
        <f t="shared" ref="R3:R22" si="8">MOD(INT(G3/2^$R$2),2)</f>
        <v>1</v>
      </c>
      <c r="S3" s="3">
        <f t="shared" ref="S3:S22" si="9">MOD(INT(G3/2^$S$2),2)</f>
        <v>0</v>
      </c>
      <c r="T3" s="3">
        <f t="shared" ref="T3:T22" si="10">MOD(INT(G3/2^$T$2),2)</f>
        <v>0</v>
      </c>
      <c r="U3" s="3">
        <f t="shared" ref="U3:U22" si="11">MOD(INT(G3/2^$U$2),2)</f>
        <v>0</v>
      </c>
      <c r="V3" s="3">
        <f t="shared" ref="V3:V22" si="12">MOD(INT(G3/2^$V$2),2)</f>
        <v>0</v>
      </c>
      <c r="W3" s="3">
        <f t="shared" ref="W3:W22" si="13">MOD(INT(G3/2^$W$2),2)</f>
        <v>0</v>
      </c>
      <c r="X3" s="3">
        <f t="shared" ref="X3:X22" si="14">MOD(INT(G3/2^$X$2),2)</f>
        <v>0</v>
      </c>
      <c r="Y3" s="3">
        <f t="shared" ref="Y3:Y22" si="15">MOD(INT(G3/2^$Y$2),2)</f>
        <v>0</v>
      </c>
      <c r="Z3" s="3"/>
      <c r="AA3" s="3"/>
    </row>
    <row r="4" spans="1:27" ht="15" x14ac:dyDescent="0.25">
      <c r="A4" s="3" t="s">
        <v>190</v>
      </c>
      <c r="B4" s="3">
        <f t="shared" ref="B4:B22" si="16">CalcTxValue(C4:E4)</f>
        <v>256</v>
      </c>
      <c r="C4" s="3">
        <v>0</v>
      </c>
      <c r="D4" s="3">
        <v>2</v>
      </c>
      <c r="E4" s="3">
        <v>0</v>
      </c>
      <c r="F4" s="3">
        <f t="shared" ref="F4:F22" si="17">ROUNDUP(MOD(E4/2,1),0)</f>
        <v>0</v>
      </c>
      <c r="G4" s="3">
        <f t="shared" ref="G4:G22" si="18">B4*2+F4</f>
        <v>512</v>
      </c>
      <c r="H4" s="3" t="str">
        <f t="shared" ref="H4:H22" si="19">DEC2HEX(G4,4)</f>
        <v>0200</v>
      </c>
      <c r="J4" s="3">
        <f t="shared" si="0"/>
        <v>0</v>
      </c>
      <c r="K4" s="3">
        <f t="shared" si="1"/>
        <v>0</v>
      </c>
      <c r="L4" s="3">
        <f t="shared" si="2"/>
        <v>0</v>
      </c>
      <c r="M4" s="3">
        <f t="shared" si="3"/>
        <v>0</v>
      </c>
      <c r="N4" s="3">
        <f t="shared" si="4"/>
        <v>0</v>
      </c>
      <c r="O4" s="3">
        <f t="shared" si="5"/>
        <v>0</v>
      </c>
      <c r="P4" s="3">
        <f t="shared" si="6"/>
        <v>1</v>
      </c>
      <c r="Q4" s="3">
        <f t="shared" si="7"/>
        <v>0</v>
      </c>
      <c r="R4" s="4">
        <f t="shared" si="8"/>
        <v>0</v>
      </c>
      <c r="S4" s="3">
        <f t="shared" si="9"/>
        <v>0</v>
      </c>
      <c r="T4" s="3">
        <f t="shared" si="10"/>
        <v>0</v>
      </c>
      <c r="U4" s="3">
        <f t="shared" si="11"/>
        <v>0</v>
      </c>
      <c r="V4" s="3">
        <f t="shared" si="12"/>
        <v>0</v>
      </c>
      <c r="W4" s="3">
        <f t="shared" si="13"/>
        <v>0</v>
      </c>
      <c r="X4" s="3">
        <f t="shared" si="14"/>
        <v>0</v>
      </c>
      <c r="Y4" s="3">
        <f t="shared" si="15"/>
        <v>0</v>
      </c>
      <c r="Z4" s="3"/>
    </row>
    <row r="5" spans="1:27" ht="15" x14ac:dyDescent="0.25">
      <c r="A5" s="3" t="s">
        <v>191</v>
      </c>
      <c r="B5" s="3">
        <f t="shared" si="16"/>
        <v>512</v>
      </c>
      <c r="C5" s="3">
        <v>0</v>
      </c>
      <c r="D5" s="3">
        <v>4</v>
      </c>
      <c r="E5" s="3">
        <v>0</v>
      </c>
      <c r="F5" s="3">
        <f t="shared" si="17"/>
        <v>0</v>
      </c>
      <c r="G5" s="3">
        <f t="shared" si="18"/>
        <v>1024</v>
      </c>
      <c r="H5" s="3" t="str">
        <f t="shared" si="19"/>
        <v>0400</v>
      </c>
      <c r="I5" s="3"/>
      <c r="J5" s="3">
        <f t="shared" si="0"/>
        <v>0</v>
      </c>
      <c r="K5" s="3">
        <f t="shared" si="1"/>
        <v>0</v>
      </c>
      <c r="L5" s="3">
        <f t="shared" si="2"/>
        <v>0</v>
      </c>
      <c r="M5" s="3">
        <f t="shared" si="3"/>
        <v>0</v>
      </c>
      <c r="N5" s="3">
        <f t="shared" si="4"/>
        <v>0</v>
      </c>
      <c r="O5" s="3">
        <f t="shared" si="5"/>
        <v>1</v>
      </c>
      <c r="P5" s="3">
        <f t="shared" si="6"/>
        <v>0</v>
      </c>
      <c r="Q5" s="3">
        <f t="shared" si="7"/>
        <v>0</v>
      </c>
      <c r="R5" s="4">
        <f t="shared" si="8"/>
        <v>0</v>
      </c>
      <c r="S5" s="3">
        <f t="shared" si="9"/>
        <v>0</v>
      </c>
      <c r="T5" s="3">
        <f t="shared" si="10"/>
        <v>0</v>
      </c>
      <c r="U5" s="3">
        <f t="shared" si="11"/>
        <v>0</v>
      </c>
      <c r="V5" s="3">
        <f t="shared" si="12"/>
        <v>0</v>
      </c>
      <c r="W5" s="3">
        <f t="shared" si="13"/>
        <v>0</v>
      </c>
      <c r="X5" s="3">
        <f t="shared" si="14"/>
        <v>0</v>
      </c>
      <c r="Y5" s="3">
        <f t="shared" si="15"/>
        <v>0</v>
      </c>
      <c r="Z5" s="3"/>
    </row>
    <row r="6" spans="1:27" ht="15" x14ac:dyDescent="0.25">
      <c r="A6" s="3" t="s">
        <v>192</v>
      </c>
      <c r="B6" s="3">
        <f t="shared" si="16"/>
        <v>1024</v>
      </c>
      <c r="C6" s="3">
        <v>0</v>
      </c>
      <c r="D6" s="3">
        <v>8</v>
      </c>
      <c r="E6" s="3">
        <v>0</v>
      </c>
      <c r="F6" s="3">
        <f t="shared" si="17"/>
        <v>0</v>
      </c>
      <c r="G6" s="3">
        <f t="shared" si="18"/>
        <v>2048</v>
      </c>
      <c r="H6" s="3" t="str">
        <f t="shared" si="19"/>
        <v>0800</v>
      </c>
      <c r="I6" s="3"/>
      <c r="J6" s="3">
        <f t="shared" si="0"/>
        <v>0</v>
      </c>
      <c r="K6" s="3">
        <f t="shared" si="1"/>
        <v>0</v>
      </c>
      <c r="L6" s="3">
        <f t="shared" si="2"/>
        <v>0</v>
      </c>
      <c r="M6" s="3">
        <f t="shared" si="3"/>
        <v>0</v>
      </c>
      <c r="N6" s="3">
        <f t="shared" si="4"/>
        <v>1</v>
      </c>
      <c r="O6" s="3">
        <f t="shared" si="5"/>
        <v>0</v>
      </c>
      <c r="P6" s="3">
        <f t="shared" si="6"/>
        <v>0</v>
      </c>
      <c r="Q6" s="3">
        <f t="shared" si="7"/>
        <v>0</v>
      </c>
      <c r="R6" s="4">
        <f t="shared" si="8"/>
        <v>0</v>
      </c>
      <c r="S6" s="3">
        <f t="shared" si="9"/>
        <v>0</v>
      </c>
      <c r="T6" s="3">
        <f t="shared" si="10"/>
        <v>0</v>
      </c>
      <c r="U6" s="3">
        <f t="shared" si="11"/>
        <v>0</v>
      </c>
      <c r="V6" s="3">
        <f t="shared" si="12"/>
        <v>0</v>
      </c>
      <c r="W6" s="3">
        <f t="shared" si="13"/>
        <v>0</v>
      </c>
      <c r="X6" s="3">
        <f t="shared" si="14"/>
        <v>0</v>
      </c>
      <c r="Y6" s="3">
        <f t="shared" si="15"/>
        <v>0</v>
      </c>
      <c r="Z6" s="3"/>
    </row>
    <row r="7" spans="1:27" ht="15" x14ac:dyDescent="0.25">
      <c r="A7" s="3" t="s">
        <v>194</v>
      </c>
      <c r="B7" s="3">
        <f t="shared" si="16"/>
        <v>17472</v>
      </c>
      <c r="C7" s="3">
        <v>1</v>
      </c>
      <c r="D7" s="3">
        <v>8</v>
      </c>
      <c r="E7" s="3">
        <v>0</v>
      </c>
      <c r="F7" s="3">
        <f t="shared" si="17"/>
        <v>0</v>
      </c>
      <c r="G7" s="3">
        <f t="shared" si="18"/>
        <v>34944</v>
      </c>
      <c r="H7" s="3" t="str">
        <f t="shared" si="19"/>
        <v>8880</v>
      </c>
      <c r="I7" s="3"/>
      <c r="J7" s="3">
        <f t="shared" si="0"/>
        <v>1</v>
      </c>
      <c r="K7" s="3">
        <f t="shared" si="1"/>
        <v>0</v>
      </c>
      <c r="L7" s="3">
        <f t="shared" si="2"/>
        <v>0</v>
      </c>
      <c r="M7" s="3">
        <f t="shared" si="3"/>
        <v>0</v>
      </c>
      <c r="N7" s="3">
        <f t="shared" si="4"/>
        <v>1</v>
      </c>
      <c r="O7" s="3">
        <f t="shared" si="5"/>
        <v>0</v>
      </c>
      <c r="P7" s="3">
        <f t="shared" si="6"/>
        <v>0</v>
      </c>
      <c r="Q7" s="3">
        <f t="shared" si="7"/>
        <v>0</v>
      </c>
      <c r="R7" s="4">
        <f t="shared" si="8"/>
        <v>1</v>
      </c>
      <c r="S7" s="3">
        <f t="shared" si="9"/>
        <v>0</v>
      </c>
      <c r="T7" s="3">
        <f t="shared" si="10"/>
        <v>0</v>
      </c>
      <c r="U7" s="3">
        <f t="shared" si="11"/>
        <v>0</v>
      </c>
      <c r="V7" s="3">
        <f t="shared" si="12"/>
        <v>0</v>
      </c>
      <c r="W7" s="3">
        <f t="shared" si="13"/>
        <v>0</v>
      </c>
      <c r="X7" s="3">
        <f t="shared" si="14"/>
        <v>0</v>
      </c>
      <c r="Y7" s="3">
        <f t="shared" si="15"/>
        <v>0</v>
      </c>
      <c r="Z7" s="3"/>
    </row>
    <row r="8" spans="1:27" ht="15" x14ac:dyDescent="0.25">
      <c r="A8" s="3" t="s">
        <v>195</v>
      </c>
      <c r="B8" s="3">
        <f t="shared" si="16"/>
        <v>17408</v>
      </c>
      <c r="C8" s="3">
        <v>1</v>
      </c>
      <c r="D8" s="3">
        <v>8</v>
      </c>
      <c r="E8" s="3">
        <v>1</v>
      </c>
      <c r="F8" s="3">
        <f t="shared" si="17"/>
        <v>1</v>
      </c>
      <c r="G8" s="3">
        <f t="shared" si="18"/>
        <v>34817</v>
      </c>
      <c r="H8" s="3" t="str">
        <f t="shared" si="19"/>
        <v>8801</v>
      </c>
      <c r="I8" s="3"/>
      <c r="J8" s="3">
        <f t="shared" si="0"/>
        <v>1</v>
      </c>
      <c r="K8" s="3">
        <f t="shared" si="1"/>
        <v>0</v>
      </c>
      <c r="L8" s="3">
        <f t="shared" si="2"/>
        <v>0</v>
      </c>
      <c r="M8" s="3">
        <f t="shared" si="3"/>
        <v>0</v>
      </c>
      <c r="N8" s="3">
        <f t="shared" si="4"/>
        <v>1</v>
      </c>
      <c r="O8" s="3">
        <f t="shared" si="5"/>
        <v>0</v>
      </c>
      <c r="P8" s="3">
        <f t="shared" si="6"/>
        <v>0</v>
      </c>
      <c r="Q8" s="3">
        <f t="shared" si="7"/>
        <v>0</v>
      </c>
      <c r="R8" s="4">
        <f t="shared" si="8"/>
        <v>0</v>
      </c>
      <c r="S8" s="3">
        <f t="shared" si="9"/>
        <v>0</v>
      </c>
      <c r="T8" s="3">
        <f t="shared" si="10"/>
        <v>0</v>
      </c>
      <c r="U8" s="3">
        <f t="shared" si="11"/>
        <v>0</v>
      </c>
      <c r="V8" s="3">
        <f t="shared" si="12"/>
        <v>0</v>
      </c>
      <c r="W8" s="3">
        <f t="shared" si="13"/>
        <v>0</v>
      </c>
      <c r="X8" s="3">
        <f t="shared" si="14"/>
        <v>0</v>
      </c>
      <c r="Y8" s="3">
        <f t="shared" si="15"/>
        <v>1</v>
      </c>
      <c r="Z8" s="3"/>
    </row>
    <row r="9" spans="1:27" ht="15" x14ac:dyDescent="0.25">
      <c r="A9" s="3" t="s">
        <v>196</v>
      </c>
      <c r="B9" s="3">
        <f t="shared" si="16"/>
        <v>17409</v>
      </c>
      <c r="C9" s="3">
        <v>1</v>
      </c>
      <c r="D9" s="3">
        <v>8</v>
      </c>
      <c r="E9" s="3">
        <v>2</v>
      </c>
      <c r="F9" s="3">
        <f t="shared" si="17"/>
        <v>0</v>
      </c>
      <c r="G9" s="3">
        <f t="shared" si="18"/>
        <v>34818</v>
      </c>
      <c r="H9" s="3" t="str">
        <f t="shared" si="19"/>
        <v>8802</v>
      </c>
      <c r="I9" s="3"/>
      <c r="J9" s="3">
        <f t="shared" si="0"/>
        <v>1</v>
      </c>
      <c r="K9" s="3">
        <f t="shared" si="1"/>
        <v>0</v>
      </c>
      <c r="L9" s="3">
        <f t="shared" si="2"/>
        <v>0</v>
      </c>
      <c r="M9" s="3">
        <f t="shared" si="3"/>
        <v>0</v>
      </c>
      <c r="N9" s="3">
        <f t="shared" si="4"/>
        <v>1</v>
      </c>
      <c r="O9" s="3">
        <f t="shared" si="5"/>
        <v>0</v>
      </c>
      <c r="P9" s="3">
        <f t="shared" si="6"/>
        <v>0</v>
      </c>
      <c r="Q9" s="3">
        <f t="shared" si="7"/>
        <v>0</v>
      </c>
      <c r="R9" s="4">
        <f t="shared" si="8"/>
        <v>0</v>
      </c>
      <c r="S9" s="3">
        <f t="shared" si="9"/>
        <v>0</v>
      </c>
      <c r="T9" s="3">
        <f t="shared" si="10"/>
        <v>0</v>
      </c>
      <c r="U9" s="3">
        <f t="shared" si="11"/>
        <v>0</v>
      </c>
      <c r="V9" s="3">
        <f t="shared" si="12"/>
        <v>0</v>
      </c>
      <c r="W9" s="3">
        <f t="shared" si="13"/>
        <v>0</v>
      </c>
      <c r="X9" s="3">
        <f t="shared" si="14"/>
        <v>1</v>
      </c>
      <c r="Y9" s="3">
        <f t="shared" si="15"/>
        <v>0</v>
      </c>
      <c r="Z9" s="3"/>
    </row>
    <row r="10" spans="1:27" ht="15" x14ac:dyDescent="0.25">
      <c r="A10" s="3" t="s">
        <v>197</v>
      </c>
      <c r="B10" s="3">
        <f t="shared" si="16"/>
        <v>17473</v>
      </c>
      <c r="C10" s="3">
        <v>1</v>
      </c>
      <c r="D10" s="3">
        <v>8</v>
      </c>
      <c r="E10" s="3">
        <v>3</v>
      </c>
      <c r="F10" s="3">
        <f t="shared" si="17"/>
        <v>1</v>
      </c>
      <c r="G10" s="3">
        <f t="shared" si="18"/>
        <v>34947</v>
      </c>
      <c r="H10" s="3" t="str">
        <f t="shared" si="19"/>
        <v>8883</v>
      </c>
      <c r="I10" s="3"/>
      <c r="J10" s="3">
        <f t="shared" si="0"/>
        <v>1</v>
      </c>
      <c r="K10" s="3">
        <f t="shared" si="1"/>
        <v>0</v>
      </c>
      <c r="L10" s="3">
        <f t="shared" si="2"/>
        <v>0</v>
      </c>
      <c r="M10" s="3">
        <f t="shared" si="3"/>
        <v>0</v>
      </c>
      <c r="N10" s="3">
        <f t="shared" si="4"/>
        <v>1</v>
      </c>
      <c r="O10" s="3">
        <f t="shared" si="5"/>
        <v>0</v>
      </c>
      <c r="P10" s="3">
        <f t="shared" si="6"/>
        <v>0</v>
      </c>
      <c r="Q10" s="3">
        <f t="shared" si="7"/>
        <v>0</v>
      </c>
      <c r="R10" s="4">
        <f t="shared" si="8"/>
        <v>1</v>
      </c>
      <c r="S10" s="3">
        <f t="shared" si="9"/>
        <v>0</v>
      </c>
      <c r="T10" s="3">
        <f t="shared" si="10"/>
        <v>0</v>
      </c>
      <c r="U10" s="3">
        <f t="shared" si="11"/>
        <v>0</v>
      </c>
      <c r="V10" s="3">
        <f t="shared" si="12"/>
        <v>0</v>
      </c>
      <c r="W10" s="3">
        <f t="shared" si="13"/>
        <v>0</v>
      </c>
      <c r="X10" s="3">
        <f t="shared" si="14"/>
        <v>1</v>
      </c>
      <c r="Y10" s="3">
        <f t="shared" si="15"/>
        <v>1</v>
      </c>
      <c r="Z10" s="3"/>
    </row>
    <row r="11" spans="1:27" ht="15" x14ac:dyDescent="0.25">
      <c r="A11" s="3" t="s">
        <v>198</v>
      </c>
      <c r="B11" s="3">
        <f t="shared" si="16"/>
        <v>17410</v>
      </c>
      <c r="C11" s="3">
        <v>1</v>
      </c>
      <c r="D11" s="3">
        <v>8</v>
      </c>
      <c r="E11" s="3">
        <v>4</v>
      </c>
      <c r="F11" s="3">
        <f t="shared" si="17"/>
        <v>0</v>
      </c>
      <c r="G11" s="3">
        <f t="shared" si="18"/>
        <v>34820</v>
      </c>
      <c r="H11" s="3" t="str">
        <f t="shared" si="19"/>
        <v>8804</v>
      </c>
      <c r="I11" s="3"/>
      <c r="J11" s="3">
        <f t="shared" si="0"/>
        <v>1</v>
      </c>
      <c r="K11" s="3">
        <f t="shared" si="1"/>
        <v>0</v>
      </c>
      <c r="L11" s="3">
        <f t="shared" si="2"/>
        <v>0</v>
      </c>
      <c r="M11" s="3">
        <f t="shared" si="3"/>
        <v>0</v>
      </c>
      <c r="N11" s="3">
        <f t="shared" si="4"/>
        <v>1</v>
      </c>
      <c r="O11" s="3">
        <f t="shared" si="5"/>
        <v>0</v>
      </c>
      <c r="P11" s="3">
        <f t="shared" si="6"/>
        <v>0</v>
      </c>
      <c r="Q11" s="3">
        <f t="shared" si="7"/>
        <v>0</v>
      </c>
      <c r="R11" s="4">
        <f t="shared" si="8"/>
        <v>0</v>
      </c>
      <c r="S11" s="3">
        <f t="shared" si="9"/>
        <v>0</v>
      </c>
      <c r="T11" s="3">
        <f t="shared" si="10"/>
        <v>0</v>
      </c>
      <c r="U11" s="3">
        <f t="shared" si="11"/>
        <v>0</v>
      </c>
      <c r="V11" s="3">
        <f t="shared" si="12"/>
        <v>0</v>
      </c>
      <c r="W11" s="3">
        <f t="shared" si="13"/>
        <v>1</v>
      </c>
      <c r="X11" s="3">
        <f t="shared" si="14"/>
        <v>0</v>
      </c>
      <c r="Y11" s="3">
        <f t="shared" si="15"/>
        <v>0</v>
      </c>
      <c r="Z11" s="3"/>
    </row>
    <row r="12" spans="1:27" ht="15" x14ac:dyDescent="0.25">
      <c r="A12" s="3" t="s">
        <v>199</v>
      </c>
      <c r="B12" s="3">
        <f t="shared" si="16"/>
        <v>17474</v>
      </c>
      <c r="C12" s="3">
        <v>1</v>
      </c>
      <c r="D12" s="3">
        <v>8</v>
      </c>
      <c r="E12" s="3">
        <v>5</v>
      </c>
      <c r="F12" s="3">
        <f t="shared" si="17"/>
        <v>1</v>
      </c>
      <c r="G12" s="3">
        <f t="shared" si="18"/>
        <v>34949</v>
      </c>
      <c r="H12" s="3" t="str">
        <f t="shared" si="19"/>
        <v>8885</v>
      </c>
      <c r="I12" s="3"/>
      <c r="J12" s="3">
        <f t="shared" si="0"/>
        <v>1</v>
      </c>
      <c r="K12" s="3">
        <f t="shared" si="1"/>
        <v>0</v>
      </c>
      <c r="L12" s="3">
        <f t="shared" si="2"/>
        <v>0</v>
      </c>
      <c r="M12" s="3">
        <f t="shared" si="3"/>
        <v>0</v>
      </c>
      <c r="N12" s="3">
        <f t="shared" si="4"/>
        <v>1</v>
      </c>
      <c r="O12" s="3">
        <f t="shared" si="5"/>
        <v>0</v>
      </c>
      <c r="P12" s="3">
        <f t="shared" si="6"/>
        <v>0</v>
      </c>
      <c r="Q12" s="3">
        <f t="shared" si="7"/>
        <v>0</v>
      </c>
      <c r="R12" s="4">
        <f t="shared" si="8"/>
        <v>1</v>
      </c>
      <c r="S12" s="3">
        <f t="shared" si="9"/>
        <v>0</v>
      </c>
      <c r="T12" s="3">
        <f t="shared" si="10"/>
        <v>0</v>
      </c>
      <c r="U12" s="3">
        <f t="shared" si="11"/>
        <v>0</v>
      </c>
      <c r="V12" s="3">
        <f t="shared" si="12"/>
        <v>0</v>
      </c>
      <c r="W12" s="3">
        <f t="shared" si="13"/>
        <v>1</v>
      </c>
      <c r="X12" s="3">
        <f t="shared" si="14"/>
        <v>0</v>
      </c>
      <c r="Y12" s="3">
        <f t="shared" si="15"/>
        <v>1</v>
      </c>
      <c r="Z12" s="3"/>
    </row>
    <row r="13" spans="1:27" ht="15" x14ac:dyDescent="0.25">
      <c r="A13" s="3" t="s">
        <v>200</v>
      </c>
      <c r="B13" s="3">
        <f t="shared" si="16"/>
        <v>17475</v>
      </c>
      <c r="C13" s="3">
        <v>1</v>
      </c>
      <c r="D13" s="3">
        <v>8</v>
      </c>
      <c r="E13" s="3">
        <v>6</v>
      </c>
      <c r="F13" s="3">
        <f t="shared" si="17"/>
        <v>0</v>
      </c>
      <c r="G13" s="3">
        <f t="shared" si="18"/>
        <v>34950</v>
      </c>
      <c r="H13" s="3" t="str">
        <f t="shared" si="19"/>
        <v>8886</v>
      </c>
      <c r="I13" s="3"/>
      <c r="J13" s="3">
        <f t="shared" si="0"/>
        <v>1</v>
      </c>
      <c r="K13" s="3">
        <f t="shared" si="1"/>
        <v>0</v>
      </c>
      <c r="L13" s="3">
        <f t="shared" si="2"/>
        <v>0</v>
      </c>
      <c r="M13" s="3">
        <f t="shared" si="3"/>
        <v>0</v>
      </c>
      <c r="N13" s="3">
        <f t="shared" si="4"/>
        <v>1</v>
      </c>
      <c r="O13" s="3">
        <f t="shared" si="5"/>
        <v>0</v>
      </c>
      <c r="P13" s="3">
        <f t="shared" si="6"/>
        <v>0</v>
      </c>
      <c r="Q13" s="3">
        <f t="shared" si="7"/>
        <v>0</v>
      </c>
      <c r="R13" s="4">
        <f t="shared" si="8"/>
        <v>1</v>
      </c>
      <c r="S13" s="3">
        <f t="shared" si="9"/>
        <v>0</v>
      </c>
      <c r="T13" s="3">
        <f t="shared" si="10"/>
        <v>0</v>
      </c>
      <c r="U13" s="3">
        <f t="shared" si="11"/>
        <v>0</v>
      </c>
      <c r="V13" s="3">
        <f t="shared" si="12"/>
        <v>0</v>
      </c>
      <c r="W13" s="3">
        <f t="shared" si="13"/>
        <v>1</v>
      </c>
      <c r="X13" s="3">
        <f t="shared" si="14"/>
        <v>1</v>
      </c>
      <c r="Y13" s="3">
        <f t="shared" si="15"/>
        <v>0</v>
      </c>
      <c r="Z13" s="3"/>
    </row>
    <row r="14" spans="1:27" ht="15" x14ac:dyDescent="0.25">
      <c r="A14" s="3" t="s">
        <v>201</v>
      </c>
      <c r="B14" s="3">
        <f t="shared" si="16"/>
        <v>17411</v>
      </c>
      <c r="C14" s="3">
        <v>1</v>
      </c>
      <c r="D14" s="3">
        <v>8</v>
      </c>
      <c r="E14" s="3">
        <v>7</v>
      </c>
      <c r="F14" s="3">
        <f t="shared" si="17"/>
        <v>1</v>
      </c>
      <c r="G14" s="3">
        <f t="shared" si="18"/>
        <v>34823</v>
      </c>
      <c r="H14" s="3" t="str">
        <f t="shared" si="19"/>
        <v>8807</v>
      </c>
      <c r="I14" s="3"/>
      <c r="J14" s="3">
        <f t="shared" si="0"/>
        <v>1</v>
      </c>
      <c r="K14" s="3">
        <f t="shared" si="1"/>
        <v>0</v>
      </c>
      <c r="L14" s="3">
        <f t="shared" si="2"/>
        <v>0</v>
      </c>
      <c r="M14" s="3">
        <f t="shared" si="3"/>
        <v>0</v>
      </c>
      <c r="N14" s="3">
        <f t="shared" si="4"/>
        <v>1</v>
      </c>
      <c r="O14" s="3">
        <f t="shared" si="5"/>
        <v>0</v>
      </c>
      <c r="P14" s="3">
        <f t="shared" si="6"/>
        <v>0</v>
      </c>
      <c r="Q14" s="3">
        <f t="shared" si="7"/>
        <v>0</v>
      </c>
      <c r="R14" s="4">
        <f t="shared" si="8"/>
        <v>0</v>
      </c>
      <c r="S14" s="3">
        <f t="shared" si="9"/>
        <v>0</v>
      </c>
      <c r="T14" s="3">
        <f t="shared" si="10"/>
        <v>0</v>
      </c>
      <c r="U14" s="3">
        <f t="shared" si="11"/>
        <v>0</v>
      </c>
      <c r="V14" s="3">
        <f t="shared" si="12"/>
        <v>0</v>
      </c>
      <c r="W14" s="3">
        <f t="shared" si="13"/>
        <v>1</v>
      </c>
      <c r="X14" s="3">
        <f t="shared" si="14"/>
        <v>1</v>
      </c>
      <c r="Y14" s="3">
        <f t="shared" si="15"/>
        <v>1</v>
      </c>
      <c r="Z14" s="3"/>
    </row>
    <row r="15" spans="1:27" ht="15" x14ac:dyDescent="0.25">
      <c r="A15" s="3" t="s">
        <v>202</v>
      </c>
      <c r="B15" s="3">
        <f t="shared" si="16"/>
        <v>17412</v>
      </c>
      <c r="C15" s="3">
        <v>1</v>
      </c>
      <c r="D15" s="3">
        <v>8</v>
      </c>
      <c r="E15" s="3">
        <v>8</v>
      </c>
      <c r="F15" s="3">
        <f t="shared" si="17"/>
        <v>0</v>
      </c>
      <c r="G15" s="3">
        <f t="shared" si="18"/>
        <v>34824</v>
      </c>
      <c r="H15" s="3" t="str">
        <f t="shared" si="19"/>
        <v>8808</v>
      </c>
      <c r="I15" s="3"/>
      <c r="J15" s="3">
        <f t="shared" si="0"/>
        <v>1</v>
      </c>
      <c r="K15" s="3">
        <f t="shared" si="1"/>
        <v>0</v>
      </c>
      <c r="L15" s="3">
        <f t="shared" si="2"/>
        <v>0</v>
      </c>
      <c r="M15" s="3">
        <f t="shared" si="3"/>
        <v>0</v>
      </c>
      <c r="N15" s="3">
        <f t="shared" si="4"/>
        <v>1</v>
      </c>
      <c r="O15" s="3">
        <f t="shared" si="5"/>
        <v>0</v>
      </c>
      <c r="P15" s="3">
        <f t="shared" si="6"/>
        <v>0</v>
      </c>
      <c r="Q15" s="3">
        <f t="shared" si="7"/>
        <v>0</v>
      </c>
      <c r="R15" s="4">
        <f t="shared" si="8"/>
        <v>0</v>
      </c>
      <c r="S15" s="3">
        <f t="shared" si="9"/>
        <v>0</v>
      </c>
      <c r="T15" s="3">
        <f t="shared" si="10"/>
        <v>0</v>
      </c>
      <c r="U15" s="3">
        <f t="shared" si="11"/>
        <v>0</v>
      </c>
      <c r="V15" s="3">
        <f t="shared" si="12"/>
        <v>1</v>
      </c>
      <c r="W15" s="3">
        <f t="shared" si="13"/>
        <v>0</v>
      </c>
      <c r="X15" s="3">
        <f t="shared" si="14"/>
        <v>0</v>
      </c>
      <c r="Y15" s="3">
        <f t="shared" si="15"/>
        <v>0</v>
      </c>
      <c r="Z15" s="3"/>
    </row>
    <row r="16" spans="1:27" ht="15" x14ac:dyDescent="0.25">
      <c r="A16" s="3" t="s">
        <v>203</v>
      </c>
      <c r="B16" s="3">
        <f t="shared" si="16"/>
        <v>17476</v>
      </c>
      <c r="C16" s="3">
        <v>1</v>
      </c>
      <c r="D16" s="3">
        <v>8</v>
      </c>
      <c r="E16" s="3">
        <v>9</v>
      </c>
      <c r="F16" s="3">
        <f t="shared" si="17"/>
        <v>1</v>
      </c>
      <c r="G16" s="3">
        <f t="shared" si="18"/>
        <v>34953</v>
      </c>
      <c r="H16" s="3" t="str">
        <f t="shared" si="19"/>
        <v>8889</v>
      </c>
      <c r="I16" s="3"/>
      <c r="J16" s="3">
        <f t="shared" si="0"/>
        <v>1</v>
      </c>
      <c r="K16" s="3">
        <f t="shared" si="1"/>
        <v>0</v>
      </c>
      <c r="L16" s="3">
        <f t="shared" si="2"/>
        <v>0</v>
      </c>
      <c r="M16" s="3">
        <f t="shared" si="3"/>
        <v>0</v>
      </c>
      <c r="N16" s="3">
        <f t="shared" si="4"/>
        <v>1</v>
      </c>
      <c r="O16" s="3">
        <f t="shared" si="5"/>
        <v>0</v>
      </c>
      <c r="P16" s="3">
        <f t="shared" si="6"/>
        <v>0</v>
      </c>
      <c r="Q16" s="3">
        <f t="shared" si="7"/>
        <v>0</v>
      </c>
      <c r="R16" s="4">
        <f t="shared" si="8"/>
        <v>1</v>
      </c>
      <c r="S16" s="3">
        <f t="shared" si="9"/>
        <v>0</v>
      </c>
      <c r="T16" s="3">
        <f t="shared" si="10"/>
        <v>0</v>
      </c>
      <c r="U16" s="3">
        <f t="shared" si="11"/>
        <v>0</v>
      </c>
      <c r="V16" s="3">
        <f t="shared" si="12"/>
        <v>1</v>
      </c>
      <c r="W16" s="3">
        <f t="shared" si="13"/>
        <v>0</v>
      </c>
      <c r="X16" s="3">
        <f t="shared" si="14"/>
        <v>0</v>
      </c>
      <c r="Y16" s="3">
        <f t="shared" si="15"/>
        <v>1</v>
      </c>
      <c r="Z16" s="3"/>
    </row>
    <row r="17" spans="1:26" ht="15" x14ac:dyDescent="0.25">
      <c r="A17" s="3" t="s">
        <v>204</v>
      </c>
      <c r="B17" s="3">
        <f t="shared" si="16"/>
        <v>17477</v>
      </c>
      <c r="C17" s="3">
        <v>1</v>
      </c>
      <c r="D17" s="3">
        <v>8</v>
      </c>
      <c r="E17" s="3">
        <v>10</v>
      </c>
      <c r="F17" s="3">
        <f t="shared" si="17"/>
        <v>0</v>
      </c>
      <c r="G17" s="3">
        <f t="shared" si="18"/>
        <v>34954</v>
      </c>
      <c r="H17" s="3" t="str">
        <f t="shared" si="19"/>
        <v>888A</v>
      </c>
      <c r="I17" s="3"/>
      <c r="J17" s="3">
        <f t="shared" si="0"/>
        <v>1</v>
      </c>
      <c r="K17" s="3">
        <f t="shared" si="1"/>
        <v>0</v>
      </c>
      <c r="L17" s="3">
        <f t="shared" si="2"/>
        <v>0</v>
      </c>
      <c r="M17" s="3">
        <f t="shared" si="3"/>
        <v>0</v>
      </c>
      <c r="N17" s="3">
        <f t="shared" si="4"/>
        <v>1</v>
      </c>
      <c r="O17" s="3">
        <f t="shared" si="5"/>
        <v>0</v>
      </c>
      <c r="P17" s="3">
        <f t="shared" si="6"/>
        <v>0</v>
      </c>
      <c r="Q17" s="3">
        <f t="shared" si="7"/>
        <v>0</v>
      </c>
      <c r="R17" s="4">
        <f t="shared" si="8"/>
        <v>1</v>
      </c>
      <c r="S17" s="3">
        <f t="shared" si="9"/>
        <v>0</v>
      </c>
      <c r="T17" s="3">
        <f t="shared" si="10"/>
        <v>0</v>
      </c>
      <c r="U17" s="3">
        <f t="shared" si="11"/>
        <v>0</v>
      </c>
      <c r="V17" s="3">
        <f t="shared" si="12"/>
        <v>1</v>
      </c>
      <c r="W17" s="3">
        <f t="shared" si="13"/>
        <v>0</v>
      </c>
      <c r="X17" s="3">
        <f t="shared" si="14"/>
        <v>1</v>
      </c>
      <c r="Y17" s="3">
        <f t="shared" si="15"/>
        <v>0</v>
      </c>
      <c r="Z17" s="3"/>
    </row>
    <row r="18" spans="1:26" ht="15" x14ac:dyDescent="0.25">
      <c r="A18" s="3" t="s">
        <v>205</v>
      </c>
      <c r="B18" s="3">
        <f t="shared" si="16"/>
        <v>17413</v>
      </c>
      <c r="C18" s="3">
        <v>1</v>
      </c>
      <c r="D18" s="3">
        <v>8</v>
      </c>
      <c r="E18" s="3">
        <v>11</v>
      </c>
      <c r="F18" s="3">
        <f t="shared" si="17"/>
        <v>1</v>
      </c>
      <c r="G18" s="3">
        <f t="shared" si="18"/>
        <v>34827</v>
      </c>
      <c r="H18" s="3" t="str">
        <f t="shared" si="19"/>
        <v>880B</v>
      </c>
      <c r="I18" s="3"/>
      <c r="J18" s="3">
        <f t="shared" si="0"/>
        <v>1</v>
      </c>
      <c r="K18" s="3">
        <f t="shared" si="1"/>
        <v>0</v>
      </c>
      <c r="L18" s="3">
        <f t="shared" si="2"/>
        <v>0</v>
      </c>
      <c r="M18" s="3">
        <f t="shared" si="3"/>
        <v>0</v>
      </c>
      <c r="N18" s="3">
        <f t="shared" si="4"/>
        <v>1</v>
      </c>
      <c r="O18" s="3">
        <f t="shared" si="5"/>
        <v>0</v>
      </c>
      <c r="P18" s="3">
        <f t="shared" si="6"/>
        <v>0</v>
      </c>
      <c r="Q18" s="3">
        <f t="shared" si="7"/>
        <v>0</v>
      </c>
      <c r="R18" s="4">
        <f t="shared" si="8"/>
        <v>0</v>
      </c>
      <c r="S18" s="3">
        <f t="shared" si="9"/>
        <v>0</v>
      </c>
      <c r="T18" s="3">
        <f t="shared" si="10"/>
        <v>0</v>
      </c>
      <c r="U18" s="3">
        <f t="shared" si="11"/>
        <v>0</v>
      </c>
      <c r="V18" s="3">
        <f t="shared" si="12"/>
        <v>1</v>
      </c>
      <c r="W18" s="3">
        <f t="shared" si="13"/>
        <v>0</v>
      </c>
      <c r="X18" s="3">
        <f t="shared" si="14"/>
        <v>1</v>
      </c>
      <c r="Y18" s="3">
        <f t="shared" si="15"/>
        <v>1</v>
      </c>
      <c r="Z18" s="3"/>
    </row>
    <row r="19" spans="1:26" ht="15" x14ac:dyDescent="0.25">
      <c r="A19" s="3" t="s">
        <v>206</v>
      </c>
      <c r="B19" s="3">
        <f t="shared" si="16"/>
        <v>17478</v>
      </c>
      <c r="C19" s="3">
        <v>1</v>
      </c>
      <c r="D19" s="3">
        <v>8</v>
      </c>
      <c r="E19" s="3">
        <v>12</v>
      </c>
      <c r="F19" s="3">
        <f t="shared" si="17"/>
        <v>0</v>
      </c>
      <c r="G19" s="3">
        <f t="shared" si="18"/>
        <v>34956</v>
      </c>
      <c r="H19" s="3" t="str">
        <f t="shared" si="19"/>
        <v>888C</v>
      </c>
      <c r="I19" s="3"/>
      <c r="J19" s="3">
        <f t="shared" si="0"/>
        <v>1</v>
      </c>
      <c r="K19" s="3">
        <f t="shared" si="1"/>
        <v>0</v>
      </c>
      <c r="L19" s="3">
        <f t="shared" si="2"/>
        <v>0</v>
      </c>
      <c r="M19" s="3">
        <f t="shared" si="3"/>
        <v>0</v>
      </c>
      <c r="N19" s="3">
        <f t="shared" si="4"/>
        <v>1</v>
      </c>
      <c r="O19" s="3">
        <f t="shared" si="5"/>
        <v>0</v>
      </c>
      <c r="P19" s="3">
        <f t="shared" si="6"/>
        <v>0</v>
      </c>
      <c r="Q19" s="3">
        <f t="shared" si="7"/>
        <v>0</v>
      </c>
      <c r="R19" s="4">
        <f t="shared" si="8"/>
        <v>1</v>
      </c>
      <c r="S19" s="3">
        <f t="shared" si="9"/>
        <v>0</v>
      </c>
      <c r="T19" s="3">
        <f t="shared" si="10"/>
        <v>0</v>
      </c>
      <c r="U19" s="3">
        <f t="shared" si="11"/>
        <v>0</v>
      </c>
      <c r="V19" s="3">
        <f t="shared" si="12"/>
        <v>1</v>
      </c>
      <c r="W19" s="3">
        <f t="shared" si="13"/>
        <v>1</v>
      </c>
      <c r="X19" s="3">
        <f t="shared" si="14"/>
        <v>0</v>
      </c>
      <c r="Y19" s="3">
        <f t="shared" si="15"/>
        <v>0</v>
      </c>
      <c r="Z19" s="3"/>
    </row>
    <row r="20" spans="1:26" ht="15" x14ac:dyDescent="0.25">
      <c r="A20" s="3" t="s">
        <v>207</v>
      </c>
      <c r="B20" s="3">
        <f t="shared" si="16"/>
        <v>17414</v>
      </c>
      <c r="C20" s="3">
        <v>1</v>
      </c>
      <c r="D20" s="3">
        <v>8</v>
      </c>
      <c r="E20" s="3">
        <v>13</v>
      </c>
      <c r="F20" s="3">
        <f t="shared" si="17"/>
        <v>1</v>
      </c>
      <c r="G20" s="3">
        <f t="shared" si="18"/>
        <v>34829</v>
      </c>
      <c r="H20" s="3" t="str">
        <f t="shared" si="19"/>
        <v>880D</v>
      </c>
      <c r="I20" s="3"/>
      <c r="J20" s="3">
        <f t="shared" si="0"/>
        <v>1</v>
      </c>
      <c r="K20" s="3">
        <f t="shared" si="1"/>
        <v>0</v>
      </c>
      <c r="L20" s="3">
        <f t="shared" si="2"/>
        <v>0</v>
      </c>
      <c r="M20" s="3">
        <f t="shared" si="3"/>
        <v>0</v>
      </c>
      <c r="N20" s="3">
        <f t="shared" si="4"/>
        <v>1</v>
      </c>
      <c r="O20" s="3">
        <f t="shared" si="5"/>
        <v>0</v>
      </c>
      <c r="P20" s="3">
        <f t="shared" si="6"/>
        <v>0</v>
      </c>
      <c r="Q20" s="3">
        <f t="shared" si="7"/>
        <v>0</v>
      </c>
      <c r="R20" s="4">
        <f t="shared" si="8"/>
        <v>0</v>
      </c>
      <c r="S20" s="3">
        <f t="shared" si="9"/>
        <v>0</v>
      </c>
      <c r="T20" s="3">
        <f t="shared" si="10"/>
        <v>0</v>
      </c>
      <c r="U20" s="3">
        <f t="shared" si="11"/>
        <v>0</v>
      </c>
      <c r="V20" s="3">
        <f t="shared" si="12"/>
        <v>1</v>
      </c>
      <c r="W20" s="3">
        <f t="shared" si="13"/>
        <v>1</v>
      </c>
      <c r="X20" s="3">
        <f t="shared" si="14"/>
        <v>0</v>
      </c>
      <c r="Y20" s="3">
        <f t="shared" si="15"/>
        <v>1</v>
      </c>
      <c r="Z20" s="3"/>
    </row>
    <row r="21" spans="1:26" ht="15" x14ac:dyDescent="0.25">
      <c r="A21" s="3" t="s">
        <v>208</v>
      </c>
      <c r="B21" s="3">
        <f t="shared" si="16"/>
        <v>17415</v>
      </c>
      <c r="C21" s="3">
        <v>1</v>
      </c>
      <c r="D21" s="3">
        <v>8</v>
      </c>
      <c r="E21" s="3">
        <v>14</v>
      </c>
      <c r="F21" s="3">
        <f t="shared" si="17"/>
        <v>0</v>
      </c>
      <c r="G21" s="3">
        <f t="shared" si="18"/>
        <v>34830</v>
      </c>
      <c r="H21" s="3" t="str">
        <f t="shared" si="19"/>
        <v>880E</v>
      </c>
      <c r="I21" s="3"/>
      <c r="J21" s="3">
        <f t="shared" si="0"/>
        <v>1</v>
      </c>
      <c r="K21" s="3">
        <f t="shared" si="1"/>
        <v>0</v>
      </c>
      <c r="L21" s="3">
        <f t="shared" si="2"/>
        <v>0</v>
      </c>
      <c r="M21" s="3">
        <f t="shared" si="3"/>
        <v>0</v>
      </c>
      <c r="N21" s="3">
        <f t="shared" si="4"/>
        <v>1</v>
      </c>
      <c r="O21" s="3">
        <f t="shared" si="5"/>
        <v>0</v>
      </c>
      <c r="P21" s="3">
        <f t="shared" si="6"/>
        <v>0</v>
      </c>
      <c r="Q21" s="3">
        <f t="shared" si="7"/>
        <v>0</v>
      </c>
      <c r="R21" s="4">
        <f t="shared" si="8"/>
        <v>0</v>
      </c>
      <c r="S21" s="3">
        <f t="shared" si="9"/>
        <v>0</v>
      </c>
      <c r="T21" s="3">
        <f t="shared" si="10"/>
        <v>0</v>
      </c>
      <c r="U21" s="3">
        <f t="shared" si="11"/>
        <v>0</v>
      </c>
      <c r="V21" s="3">
        <f t="shared" si="12"/>
        <v>1</v>
      </c>
      <c r="W21" s="3">
        <f t="shared" si="13"/>
        <v>1</v>
      </c>
      <c r="X21" s="3">
        <f t="shared" si="14"/>
        <v>1</v>
      </c>
      <c r="Y21" s="3">
        <f t="shared" si="15"/>
        <v>0</v>
      </c>
      <c r="Z21" s="3"/>
    </row>
    <row r="22" spans="1:26" ht="15" x14ac:dyDescent="0.25">
      <c r="A22" s="3" t="s">
        <v>209</v>
      </c>
      <c r="B22" s="3">
        <f t="shared" si="16"/>
        <v>17479</v>
      </c>
      <c r="C22" s="3">
        <v>1</v>
      </c>
      <c r="D22" s="3">
        <v>8</v>
      </c>
      <c r="E22" s="3">
        <v>15</v>
      </c>
      <c r="F22" s="3">
        <f t="shared" si="17"/>
        <v>1</v>
      </c>
      <c r="G22" s="3">
        <f t="shared" si="18"/>
        <v>34959</v>
      </c>
      <c r="H22" s="3" t="str">
        <f t="shared" si="19"/>
        <v>888F</v>
      </c>
      <c r="I22" s="3"/>
      <c r="J22" s="3">
        <f t="shared" si="0"/>
        <v>1</v>
      </c>
      <c r="K22" s="3">
        <f t="shared" si="1"/>
        <v>0</v>
      </c>
      <c r="L22" s="3">
        <f t="shared" si="2"/>
        <v>0</v>
      </c>
      <c r="M22" s="3">
        <f t="shared" si="3"/>
        <v>0</v>
      </c>
      <c r="N22" s="3">
        <f t="shared" si="4"/>
        <v>1</v>
      </c>
      <c r="O22" s="3">
        <f t="shared" si="5"/>
        <v>0</v>
      </c>
      <c r="P22" s="3">
        <f t="shared" si="6"/>
        <v>0</v>
      </c>
      <c r="Q22" s="3">
        <f t="shared" si="7"/>
        <v>0</v>
      </c>
      <c r="R22" s="4">
        <f t="shared" si="8"/>
        <v>1</v>
      </c>
      <c r="S22" s="3">
        <f t="shared" si="9"/>
        <v>0</v>
      </c>
      <c r="T22" s="3">
        <f t="shared" si="10"/>
        <v>0</v>
      </c>
      <c r="U22" s="3">
        <f t="shared" si="11"/>
        <v>0</v>
      </c>
      <c r="V22" s="3">
        <f t="shared" si="12"/>
        <v>1</v>
      </c>
      <c r="W22" s="3">
        <f t="shared" si="13"/>
        <v>1</v>
      </c>
      <c r="X22" s="3">
        <f t="shared" si="14"/>
        <v>1</v>
      </c>
      <c r="Y22" s="3">
        <f t="shared" si="15"/>
        <v>1</v>
      </c>
      <c r="Z22" s="3"/>
    </row>
    <row r="27" spans="1:26" ht="15" x14ac:dyDescent="0.25">
      <c r="D27" s="7" t="s">
        <v>189</v>
      </c>
      <c r="E27" s="8" t="s">
        <v>212</v>
      </c>
      <c r="F27" s="8" t="s">
        <v>241</v>
      </c>
      <c r="H27" t="s">
        <v>328</v>
      </c>
      <c r="I27" s="3" t="s">
        <v>73</v>
      </c>
      <c r="J27" s="3" t="s">
        <v>72</v>
      </c>
      <c r="K27" s="3" t="s">
        <v>71</v>
      </c>
      <c r="L27" s="3" t="s">
        <v>70</v>
      </c>
      <c r="M27" s="3" t="s">
        <v>69</v>
      </c>
      <c r="N27" s="3" t="s">
        <v>68</v>
      </c>
      <c r="O27" s="3" t="s">
        <v>67</v>
      </c>
      <c r="P27" s="3" t="s">
        <v>66</v>
      </c>
    </row>
    <row r="28" spans="1:26" ht="15" x14ac:dyDescent="0.25">
      <c r="A28" s="3"/>
      <c r="B28" s="3"/>
      <c r="C28" s="3">
        <v>0</v>
      </c>
      <c r="D28" s="3" t="s">
        <v>190</v>
      </c>
      <c r="E28" s="3">
        <f>VLOOKUP(D28,$A$3:$B$22,2,FALSE)</f>
        <v>256</v>
      </c>
      <c r="F28" s="3">
        <f>E28+H28</f>
        <v>15663360</v>
      </c>
      <c r="G28" s="3" t="str">
        <f>DEC2HEX(F28,8)</f>
        <v>00EF0100</v>
      </c>
      <c r="H28">
        <f>2^16*P28+2^17*O28+2^18*N28+2^19*M28+2^20*L28+2^21*K28+2^22*J28+2^23*I28</f>
        <v>15663104</v>
      </c>
      <c r="I28">
        <v>1</v>
      </c>
      <c r="J28">
        <v>1</v>
      </c>
      <c r="K28">
        <v>1</v>
      </c>
      <c r="L28">
        <v>0</v>
      </c>
      <c r="M28">
        <v>1</v>
      </c>
      <c r="N28">
        <v>1</v>
      </c>
      <c r="O28">
        <v>1</v>
      </c>
      <c r="P28">
        <v>1</v>
      </c>
    </row>
    <row r="29" spans="1:26" ht="15" x14ac:dyDescent="0.25">
      <c r="A29" s="3"/>
      <c r="B29" s="3"/>
      <c r="C29" s="3">
        <v>1</v>
      </c>
      <c r="D29" s="3" t="s">
        <v>193</v>
      </c>
      <c r="E29" s="3">
        <f t="shared" ref="E29:E30" si="20">VLOOKUP(D29,$A$3:$B$22,2,FALSE)</f>
        <v>64</v>
      </c>
      <c r="F29" s="3">
        <f t="shared" ref="F29:F91" si="21">E29+H29</f>
        <v>15663168</v>
      </c>
      <c r="G29" s="3" t="str">
        <f t="shared" ref="G29:G91" si="22">DEC2HEX(F29,8)</f>
        <v>00EF0040</v>
      </c>
      <c r="H29">
        <f t="shared" ref="H29:H91" si="23">2^16*P29+2^17*O29+2^18*N29+2^19*M29+2^20*L29+2^21*K29+2^22*J29+2^23*I29</f>
        <v>15663104</v>
      </c>
      <c r="I29">
        <v>1</v>
      </c>
      <c r="J29">
        <v>1</v>
      </c>
      <c r="K29">
        <v>1</v>
      </c>
      <c r="L29">
        <v>0</v>
      </c>
      <c r="M29">
        <v>1</v>
      </c>
      <c r="N29">
        <v>1</v>
      </c>
      <c r="O29">
        <v>1</v>
      </c>
      <c r="P29">
        <v>1</v>
      </c>
    </row>
    <row r="30" spans="1:26" ht="15" x14ac:dyDescent="0.25">
      <c r="A30" s="3"/>
      <c r="B30" s="3"/>
      <c r="C30" s="3">
        <v>2</v>
      </c>
      <c r="D30" s="3" t="s">
        <v>191</v>
      </c>
      <c r="E30" s="3">
        <f t="shared" si="20"/>
        <v>512</v>
      </c>
      <c r="F30" s="3">
        <f t="shared" si="21"/>
        <v>15663616</v>
      </c>
      <c r="G30" s="3" t="str">
        <f t="shared" si="22"/>
        <v>00EF0200</v>
      </c>
      <c r="H30">
        <f t="shared" si="23"/>
        <v>15663104</v>
      </c>
      <c r="I30">
        <v>1</v>
      </c>
      <c r="J30">
        <v>1</v>
      </c>
      <c r="K30">
        <v>1</v>
      </c>
      <c r="L30">
        <v>0</v>
      </c>
      <c r="M30">
        <v>1</v>
      </c>
      <c r="N30">
        <v>1</v>
      </c>
      <c r="O30">
        <v>1</v>
      </c>
      <c r="P30">
        <v>1</v>
      </c>
    </row>
    <row r="31" spans="1:26" ht="15" x14ac:dyDescent="0.25">
      <c r="A31" s="3"/>
      <c r="B31" s="3"/>
      <c r="C31" s="3">
        <v>3</v>
      </c>
      <c r="D31" s="3"/>
      <c r="E31" s="3">
        <v>0</v>
      </c>
      <c r="F31" s="3">
        <f t="shared" si="21"/>
        <v>16711680</v>
      </c>
      <c r="G31" s="3" t="str">
        <f t="shared" si="22"/>
        <v>00FF0000</v>
      </c>
      <c r="H31">
        <f t="shared" si="23"/>
        <v>16711680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</row>
    <row r="32" spans="1:26" ht="15" x14ac:dyDescent="0.25">
      <c r="A32" s="3"/>
      <c r="B32" s="3"/>
      <c r="C32" s="3">
        <v>4</v>
      </c>
      <c r="D32" s="3"/>
      <c r="E32" s="3">
        <v>0</v>
      </c>
      <c r="F32" s="3">
        <f t="shared" si="21"/>
        <v>16711680</v>
      </c>
      <c r="G32" s="3" t="str">
        <f t="shared" si="22"/>
        <v>00FF0000</v>
      </c>
      <c r="H32">
        <f t="shared" si="23"/>
        <v>16711680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</row>
    <row r="33" spans="1:16" ht="15" x14ac:dyDescent="0.25">
      <c r="A33" s="3"/>
      <c r="B33" s="3"/>
      <c r="C33" s="3">
        <v>5</v>
      </c>
      <c r="D33" s="3"/>
      <c r="E33" s="3">
        <v>0</v>
      </c>
      <c r="F33" s="3">
        <f t="shared" si="21"/>
        <v>16711680</v>
      </c>
      <c r="G33" s="3" t="str">
        <f t="shared" si="22"/>
        <v>00FF0000</v>
      </c>
      <c r="H33">
        <f t="shared" si="23"/>
        <v>16711680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</row>
    <row r="34" spans="1:16" ht="15" x14ac:dyDescent="0.25">
      <c r="A34" s="3"/>
      <c r="B34" s="3"/>
      <c r="C34" s="3">
        <v>6</v>
      </c>
      <c r="D34" s="9" t="s">
        <v>194</v>
      </c>
      <c r="E34" s="3">
        <f>VLOOKUP(D34,$A$3:$B$22,2,FALSE)</f>
        <v>17472</v>
      </c>
      <c r="F34" s="3">
        <f t="shared" si="21"/>
        <v>16729152</v>
      </c>
      <c r="G34" s="3" t="str">
        <f t="shared" si="22"/>
        <v>00FF4440</v>
      </c>
      <c r="H34">
        <f t="shared" si="23"/>
        <v>16711680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</row>
    <row r="35" spans="1:16" ht="15" x14ac:dyDescent="0.25">
      <c r="A35" s="3"/>
      <c r="B35" s="3"/>
      <c r="C35" s="3">
        <v>7</v>
      </c>
      <c r="D35" s="3" t="s">
        <v>192</v>
      </c>
      <c r="E35" s="3">
        <f t="shared" ref="E35:E81" si="24">VLOOKUP(D35,$A$3:$B$22,2,FALSE)</f>
        <v>1024</v>
      </c>
      <c r="F35" s="3">
        <f t="shared" si="21"/>
        <v>16712704</v>
      </c>
      <c r="G35" s="3" t="str">
        <f t="shared" si="22"/>
        <v>00FF0400</v>
      </c>
      <c r="H35">
        <f t="shared" si="23"/>
        <v>16711680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</row>
    <row r="36" spans="1:16" ht="15" x14ac:dyDescent="0.25">
      <c r="A36" s="3"/>
      <c r="B36" s="3"/>
      <c r="C36" s="3">
        <v>8</v>
      </c>
      <c r="D36" s="3" t="s">
        <v>191</v>
      </c>
      <c r="E36" s="3">
        <f t="shared" si="24"/>
        <v>512</v>
      </c>
      <c r="F36" s="3">
        <f t="shared" si="21"/>
        <v>16712192</v>
      </c>
      <c r="G36" s="3" t="str">
        <f t="shared" si="22"/>
        <v>00FF0200</v>
      </c>
      <c r="H36">
        <f t="shared" si="23"/>
        <v>16711680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</row>
    <row r="37" spans="1:16" ht="15" x14ac:dyDescent="0.25">
      <c r="A37" s="3"/>
      <c r="B37" s="3"/>
      <c r="C37" s="3">
        <v>9</v>
      </c>
      <c r="D37" s="9" t="s">
        <v>195</v>
      </c>
      <c r="E37" s="3">
        <f t="shared" si="24"/>
        <v>17408</v>
      </c>
      <c r="F37" s="3">
        <f t="shared" si="21"/>
        <v>16729088</v>
      </c>
      <c r="G37" s="3" t="str">
        <f t="shared" si="22"/>
        <v>00FF4400</v>
      </c>
      <c r="H37">
        <f t="shared" si="23"/>
        <v>16711680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</row>
    <row r="38" spans="1:16" ht="15" x14ac:dyDescent="0.25">
      <c r="A38" s="3"/>
      <c r="B38" s="3"/>
      <c r="C38" s="3">
        <v>10</v>
      </c>
      <c r="D38" s="3" t="s">
        <v>192</v>
      </c>
      <c r="E38" s="3">
        <f t="shared" si="24"/>
        <v>1024</v>
      </c>
      <c r="F38" s="3">
        <f t="shared" si="21"/>
        <v>16712704</v>
      </c>
      <c r="G38" s="3" t="str">
        <f t="shared" si="22"/>
        <v>00FF0400</v>
      </c>
      <c r="H38">
        <f t="shared" si="23"/>
        <v>16711680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</row>
    <row r="39" spans="1:16" ht="15" x14ac:dyDescent="0.25">
      <c r="A39" s="3"/>
      <c r="B39" s="3"/>
      <c r="C39" s="3">
        <v>11</v>
      </c>
      <c r="D39" s="3" t="s">
        <v>191</v>
      </c>
      <c r="E39" s="3">
        <f t="shared" si="24"/>
        <v>512</v>
      </c>
      <c r="F39" s="3">
        <f t="shared" si="21"/>
        <v>16712192</v>
      </c>
      <c r="G39" s="3" t="str">
        <f t="shared" si="22"/>
        <v>00FF0200</v>
      </c>
      <c r="H39">
        <f t="shared" si="23"/>
        <v>16711680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</row>
    <row r="40" spans="1:16" ht="15" x14ac:dyDescent="0.25">
      <c r="A40" s="3"/>
      <c r="B40" s="3"/>
      <c r="C40" s="3">
        <v>12</v>
      </c>
      <c r="D40" s="9" t="s">
        <v>196</v>
      </c>
      <c r="E40" s="3">
        <f t="shared" si="24"/>
        <v>17409</v>
      </c>
      <c r="F40" s="3">
        <f t="shared" si="21"/>
        <v>16729089</v>
      </c>
      <c r="G40" s="3" t="str">
        <f t="shared" si="22"/>
        <v>00FF4401</v>
      </c>
      <c r="H40">
        <f t="shared" si="23"/>
        <v>16711680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</row>
    <row r="41" spans="1:16" ht="15" x14ac:dyDescent="0.25">
      <c r="A41" s="3"/>
      <c r="B41" s="3"/>
      <c r="C41" s="3">
        <v>13</v>
      </c>
      <c r="D41" s="3" t="s">
        <v>192</v>
      </c>
      <c r="E41" s="3">
        <f t="shared" si="24"/>
        <v>1024</v>
      </c>
      <c r="F41" s="3">
        <f t="shared" si="21"/>
        <v>16712704</v>
      </c>
      <c r="G41" s="3" t="str">
        <f t="shared" si="22"/>
        <v>00FF0400</v>
      </c>
      <c r="H41">
        <f t="shared" si="23"/>
        <v>16711680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</row>
    <row r="42" spans="1:16" ht="15" x14ac:dyDescent="0.25">
      <c r="A42" s="3"/>
      <c r="B42" s="3"/>
      <c r="C42" s="3">
        <v>14</v>
      </c>
      <c r="D42" s="3" t="s">
        <v>191</v>
      </c>
      <c r="E42" s="3">
        <f t="shared" si="24"/>
        <v>512</v>
      </c>
      <c r="F42" s="3">
        <f t="shared" si="21"/>
        <v>16712192</v>
      </c>
      <c r="G42" s="3" t="str">
        <f t="shared" si="22"/>
        <v>00FF0200</v>
      </c>
      <c r="H42">
        <f t="shared" si="23"/>
        <v>16711680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</row>
    <row r="43" spans="1:16" ht="15" x14ac:dyDescent="0.25">
      <c r="A43" s="3"/>
      <c r="B43" s="3"/>
      <c r="C43" s="3">
        <v>15</v>
      </c>
      <c r="D43" s="9" t="s">
        <v>197</v>
      </c>
      <c r="E43" s="3">
        <f t="shared" si="24"/>
        <v>17473</v>
      </c>
      <c r="F43" s="3">
        <f t="shared" si="21"/>
        <v>16729153</v>
      </c>
      <c r="G43" s="3" t="str">
        <f t="shared" si="22"/>
        <v>00FF4441</v>
      </c>
      <c r="H43">
        <f t="shared" si="23"/>
        <v>16711680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</row>
    <row r="44" spans="1:16" ht="15" x14ac:dyDescent="0.25">
      <c r="C44" s="3">
        <v>16</v>
      </c>
      <c r="D44" s="3" t="s">
        <v>192</v>
      </c>
      <c r="E44" s="3">
        <f t="shared" si="24"/>
        <v>1024</v>
      </c>
      <c r="F44" s="3">
        <f t="shared" si="21"/>
        <v>16712704</v>
      </c>
      <c r="G44" s="3" t="str">
        <f t="shared" si="22"/>
        <v>00FF0400</v>
      </c>
      <c r="H44">
        <f t="shared" si="23"/>
        <v>16711680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</row>
    <row r="45" spans="1:16" ht="15" x14ac:dyDescent="0.25">
      <c r="C45" s="3">
        <v>17</v>
      </c>
      <c r="D45" s="3" t="s">
        <v>191</v>
      </c>
      <c r="E45" s="3">
        <f t="shared" si="24"/>
        <v>512</v>
      </c>
      <c r="F45" s="3">
        <f t="shared" si="21"/>
        <v>16712192</v>
      </c>
      <c r="G45" s="3" t="str">
        <f t="shared" si="22"/>
        <v>00FF0200</v>
      </c>
      <c r="H45">
        <f t="shared" si="23"/>
        <v>16711680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</row>
    <row r="46" spans="1:16" ht="15" x14ac:dyDescent="0.25">
      <c r="C46" s="3">
        <v>18</v>
      </c>
      <c r="D46" s="9" t="s">
        <v>198</v>
      </c>
      <c r="E46" s="3">
        <f t="shared" si="24"/>
        <v>17410</v>
      </c>
      <c r="F46" s="3">
        <f t="shared" si="21"/>
        <v>16729090</v>
      </c>
      <c r="G46" s="3" t="str">
        <f t="shared" si="22"/>
        <v>00FF4402</v>
      </c>
      <c r="H46">
        <f t="shared" si="23"/>
        <v>16711680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</row>
    <row r="47" spans="1:16" ht="15" x14ac:dyDescent="0.25">
      <c r="C47" s="3">
        <v>19</v>
      </c>
      <c r="D47" s="3" t="s">
        <v>192</v>
      </c>
      <c r="E47" s="3">
        <f t="shared" si="24"/>
        <v>1024</v>
      </c>
      <c r="F47" s="3">
        <f t="shared" si="21"/>
        <v>16712704</v>
      </c>
      <c r="G47" s="3" t="str">
        <f t="shared" si="22"/>
        <v>00FF0400</v>
      </c>
      <c r="H47">
        <f t="shared" si="23"/>
        <v>16711680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</row>
    <row r="48" spans="1:16" ht="15" x14ac:dyDescent="0.25">
      <c r="C48" s="3">
        <v>20</v>
      </c>
      <c r="D48" s="3" t="s">
        <v>191</v>
      </c>
      <c r="E48" s="3">
        <f t="shared" si="24"/>
        <v>512</v>
      </c>
      <c r="F48" s="3">
        <f t="shared" si="21"/>
        <v>16712192</v>
      </c>
      <c r="G48" s="3" t="str">
        <f t="shared" si="22"/>
        <v>00FF0200</v>
      </c>
      <c r="H48">
        <f t="shared" si="23"/>
        <v>16711680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</row>
    <row r="49" spans="3:16" ht="15" x14ac:dyDescent="0.25">
      <c r="C49" s="3">
        <v>21</v>
      </c>
      <c r="D49" s="9" t="s">
        <v>199</v>
      </c>
      <c r="E49" s="3">
        <f t="shared" si="24"/>
        <v>17474</v>
      </c>
      <c r="F49" s="3">
        <f t="shared" si="21"/>
        <v>16729154</v>
      </c>
      <c r="G49" s="3" t="str">
        <f t="shared" si="22"/>
        <v>00FF4442</v>
      </c>
      <c r="H49">
        <f t="shared" si="23"/>
        <v>16711680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</row>
    <row r="50" spans="3:16" ht="15" x14ac:dyDescent="0.25">
      <c r="C50" s="3">
        <v>22</v>
      </c>
      <c r="D50" s="3" t="s">
        <v>192</v>
      </c>
      <c r="E50" s="3">
        <f t="shared" si="24"/>
        <v>1024</v>
      </c>
      <c r="F50" s="3">
        <f t="shared" si="21"/>
        <v>16712704</v>
      </c>
      <c r="G50" s="3" t="str">
        <f t="shared" si="22"/>
        <v>00FF0400</v>
      </c>
      <c r="H50">
        <f t="shared" si="23"/>
        <v>16711680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</row>
    <row r="51" spans="3:16" ht="15" x14ac:dyDescent="0.25">
      <c r="C51" s="3">
        <v>23</v>
      </c>
      <c r="D51" s="3" t="s">
        <v>191</v>
      </c>
      <c r="E51" s="3">
        <f t="shared" si="24"/>
        <v>512</v>
      </c>
      <c r="F51" s="3">
        <f t="shared" si="21"/>
        <v>16712192</v>
      </c>
      <c r="G51" s="3" t="str">
        <f t="shared" si="22"/>
        <v>00FF0200</v>
      </c>
      <c r="H51">
        <f t="shared" si="23"/>
        <v>16711680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</row>
    <row r="52" spans="3:16" ht="15" x14ac:dyDescent="0.25">
      <c r="C52" s="3">
        <v>24</v>
      </c>
      <c r="D52" s="9" t="s">
        <v>200</v>
      </c>
      <c r="E52" s="3">
        <f t="shared" si="24"/>
        <v>17475</v>
      </c>
      <c r="F52" s="3">
        <f t="shared" si="21"/>
        <v>16729155</v>
      </c>
      <c r="G52" s="3" t="str">
        <f t="shared" si="22"/>
        <v>00FF4443</v>
      </c>
      <c r="H52">
        <f t="shared" si="23"/>
        <v>16711680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</row>
    <row r="53" spans="3:16" ht="15" x14ac:dyDescent="0.25">
      <c r="C53" s="3">
        <v>25</v>
      </c>
      <c r="D53" s="3" t="s">
        <v>192</v>
      </c>
      <c r="E53" s="3">
        <f t="shared" si="24"/>
        <v>1024</v>
      </c>
      <c r="F53" s="3">
        <f t="shared" si="21"/>
        <v>16712704</v>
      </c>
      <c r="G53" s="3" t="str">
        <f t="shared" si="22"/>
        <v>00FF0400</v>
      </c>
      <c r="H53">
        <f t="shared" si="23"/>
        <v>16711680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</row>
    <row r="54" spans="3:16" ht="15" x14ac:dyDescent="0.25">
      <c r="C54" s="3">
        <v>26</v>
      </c>
      <c r="D54" s="3" t="s">
        <v>191</v>
      </c>
      <c r="E54" s="3">
        <f t="shared" si="24"/>
        <v>512</v>
      </c>
      <c r="F54" s="3">
        <f t="shared" si="21"/>
        <v>16712192</v>
      </c>
      <c r="G54" s="3" t="str">
        <f t="shared" si="22"/>
        <v>00FF0200</v>
      </c>
      <c r="H54">
        <f t="shared" si="23"/>
        <v>16711680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3:16" ht="15" x14ac:dyDescent="0.25">
      <c r="C55" s="3">
        <v>27</v>
      </c>
      <c r="D55" s="9" t="s">
        <v>201</v>
      </c>
      <c r="E55" s="3">
        <f t="shared" si="24"/>
        <v>17411</v>
      </c>
      <c r="F55" s="3">
        <f t="shared" si="21"/>
        <v>16729091</v>
      </c>
      <c r="G55" s="3" t="str">
        <f t="shared" si="22"/>
        <v>00FF4403</v>
      </c>
      <c r="H55">
        <f t="shared" si="23"/>
        <v>16711680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</row>
    <row r="56" spans="3:16" ht="15" x14ac:dyDescent="0.25">
      <c r="C56" s="3">
        <v>28</v>
      </c>
      <c r="D56" s="3" t="s">
        <v>192</v>
      </c>
      <c r="E56" s="3">
        <f t="shared" si="24"/>
        <v>1024</v>
      </c>
      <c r="F56" s="3">
        <f t="shared" si="21"/>
        <v>16712704</v>
      </c>
      <c r="G56" s="3" t="str">
        <f t="shared" si="22"/>
        <v>00FF0400</v>
      </c>
      <c r="H56">
        <f t="shared" si="23"/>
        <v>16711680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</row>
    <row r="57" spans="3:16" ht="15" x14ac:dyDescent="0.25">
      <c r="C57" s="3">
        <v>29</v>
      </c>
      <c r="D57" s="3" t="s">
        <v>191</v>
      </c>
      <c r="E57" s="3">
        <f t="shared" si="24"/>
        <v>512</v>
      </c>
      <c r="F57" s="3">
        <f t="shared" si="21"/>
        <v>16712192</v>
      </c>
      <c r="G57" s="3" t="str">
        <f t="shared" si="22"/>
        <v>00FF0200</v>
      </c>
      <c r="H57">
        <f t="shared" si="23"/>
        <v>16711680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</row>
    <row r="58" spans="3:16" ht="15" x14ac:dyDescent="0.25">
      <c r="C58" s="3">
        <v>30</v>
      </c>
      <c r="D58" s="9" t="s">
        <v>202</v>
      </c>
      <c r="E58" s="3">
        <f t="shared" si="24"/>
        <v>17412</v>
      </c>
      <c r="F58" s="3">
        <f t="shared" si="21"/>
        <v>16729092</v>
      </c>
      <c r="G58" s="3" t="str">
        <f t="shared" si="22"/>
        <v>00FF4404</v>
      </c>
      <c r="H58">
        <f t="shared" si="23"/>
        <v>16711680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</row>
    <row r="59" spans="3:16" x14ac:dyDescent="0.3">
      <c r="C59" s="3">
        <v>31</v>
      </c>
      <c r="D59" s="3" t="s">
        <v>192</v>
      </c>
      <c r="E59" s="3">
        <f t="shared" si="24"/>
        <v>1024</v>
      </c>
      <c r="F59" s="3">
        <f t="shared" si="21"/>
        <v>16712704</v>
      </c>
      <c r="G59" s="3" t="str">
        <f t="shared" si="22"/>
        <v>00FF0400</v>
      </c>
      <c r="H59">
        <f t="shared" si="23"/>
        <v>16711680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</row>
    <row r="60" spans="3:16" x14ac:dyDescent="0.3">
      <c r="C60" s="3">
        <v>32</v>
      </c>
      <c r="D60" s="3" t="s">
        <v>191</v>
      </c>
      <c r="E60" s="3">
        <f t="shared" si="24"/>
        <v>512</v>
      </c>
      <c r="F60" s="3">
        <f t="shared" si="21"/>
        <v>16712192</v>
      </c>
      <c r="G60" s="3" t="str">
        <f t="shared" si="22"/>
        <v>00FF0200</v>
      </c>
      <c r="H60">
        <f t="shared" si="23"/>
        <v>16711680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</row>
    <row r="61" spans="3:16" x14ac:dyDescent="0.3">
      <c r="C61" s="3">
        <v>33</v>
      </c>
      <c r="D61" s="9" t="s">
        <v>203</v>
      </c>
      <c r="E61" s="3">
        <f t="shared" si="24"/>
        <v>17476</v>
      </c>
      <c r="F61" s="3">
        <f t="shared" si="21"/>
        <v>16729156</v>
      </c>
      <c r="G61" s="3" t="str">
        <f t="shared" si="22"/>
        <v>00FF4444</v>
      </c>
      <c r="H61">
        <f t="shared" si="23"/>
        <v>16711680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</row>
    <row r="62" spans="3:16" x14ac:dyDescent="0.3">
      <c r="C62" s="3">
        <v>34</v>
      </c>
      <c r="D62" s="3" t="s">
        <v>192</v>
      </c>
      <c r="E62" s="3">
        <f t="shared" si="24"/>
        <v>1024</v>
      </c>
      <c r="F62" s="3">
        <f t="shared" si="21"/>
        <v>16712704</v>
      </c>
      <c r="G62" s="3" t="str">
        <f t="shared" si="22"/>
        <v>00FF0400</v>
      </c>
      <c r="H62">
        <f t="shared" si="23"/>
        <v>16711680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</row>
    <row r="63" spans="3:16" x14ac:dyDescent="0.3">
      <c r="C63" s="3">
        <v>35</v>
      </c>
      <c r="D63" s="3" t="s">
        <v>191</v>
      </c>
      <c r="E63" s="3">
        <f t="shared" si="24"/>
        <v>512</v>
      </c>
      <c r="F63" s="3">
        <f t="shared" si="21"/>
        <v>16712192</v>
      </c>
      <c r="G63" s="3" t="str">
        <f t="shared" si="22"/>
        <v>00FF0200</v>
      </c>
      <c r="H63">
        <f t="shared" si="23"/>
        <v>16711680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</row>
    <row r="64" spans="3:16" x14ac:dyDescent="0.3">
      <c r="C64" s="3">
        <v>36</v>
      </c>
      <c r="D64" s="9" t="s">
        <v>204</v>
      </c>
      <c r="E64" s="3">
        <f t="shared" si="24"/>
        <v>17477</v>
      </c>
      <c r="F64" s="3">
        <f t="shared" si="21"/>
        <v>16729157</v>
      </c>
      <c r="G64" s="3" t="str">
        <f t="shared" si="22"/>
        <v>00FF4445</v>
      </c>
      <c r="H64">
        <f t="shared" si="23"/>
        <v>16711680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</row>
    <row r="65" spans="3:16" x14ac:dyDescent="0.3">
      <c r="C65" s="3">
        <v>37</v>
      </c>
      <c r="D65" s="3" t="s">
        <v>192</v>
      </c>
      <c r="E65" s="3">
        <f t="shared" si="24"/>
        <v>1024</v>
      </c>
      <c r="F65" s="3">
        <f t="shared" si="21"/>
        <v>16712704</v>
      </c>
      <c r="G65" s="3" t="str">
        <f t="shared" si="22"/>
        <v>00FF0400</v>
      </c>
      <c r="H65">
        <f t="shared" si="23"/>
        <v>16711680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</row>
    <row r="66" spans="3:16" x14ac:dyDescent="0.3">
      <c r="C66" s="3">
        <v>38</v>
      </c>
      <c r="D66" s="3" t="s">
        <v>191</v>
      </c>
      <c r="E66" s="3">
        <f t="shared" si="24"/>
        <v>512</v>
      </c>
      <c r="F66" s="3">
        <f t="shared" si="21"/>
        <v>16712192</v>
      </c>
      <c r="G66" s="3" t="str">
        <f t="shared" si="22"/>
        <v>00FF0200</v>
      </c>
      <c r="H66">
        <f t="shared" si="23"/>
        <v>16711680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</row>
    <row r="67" spans="3:16" x14ac:dyDescent="0.3">
      <c r="C67" s="3">
        <v>39</v>
      </c>
      <c r="D67" s="9" t="s">
        <v>205</v>
      </c>
      <c r="E67" s="3">
        <f t="shared" si="24"/>
        <v>17413</v>
      </c>
      <c r="F67" s="3">
        <f t="shared" si="21"/>
        <v>16729093</v>
      </c>
      <c r="G67" s="3" t="str">
        <f t="shared" si="22"/>
        <v>00FF4405</v>
      </c>
      <c r="H67">
        <f t="shared" si="23"/>
        <v>16711680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</row>
    <row r="68" spans="3:16" x14ac:dyDescent="0.3">
      <c r="C68" s="3">
        <v>40</v>
      </c>
      <c r="D68" s="3" t="s">
        <v>192</v>
      </c>
      <c r="E68" s="3">
        <f t="shared" si="24"/>
        <v>1024</v>
      </c>
      <c r="F68" s="3">
        <f t="shared" si="21"/>
        <v>16712704</v>
      </c>
      <c r="G68" s="3" t="str">
        <f t="shared" si="22"/>
        <v>00FF0400</v>
      </c>
      <c r="H68">
        <f t="shared" si="23"/>
        <v>16711680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</row>
    <row r="69" spans="3:16" x14ac:dyDescent="0.3">
      <c r="C69" s="3">
        <v>41</v>
      </c>
      <c r="D69" s="3" t="s">
        <v>191</v>
      </c>
      <c r="E69" s="3">
        <f t="shared" si="24"/>
        <v>512</v>
      </c>
      <c r="F69" s="3">
        <f t="shared" si="21"/>
        <v>16712192</v>
      </c>
      <c r="G69" s="3" t="str">
        <f t="shared" si="22"/>
        <v>00FF0200</v>
      </c>
      <c r="H69">
        <f t="shared" si="23"/>
        <v>16711680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</row>
    <row r="70" spans="3:16" x14ac:dyDescent="0.3">
      <c r="C70" s="3">
        <v>42</v>
      </c>
      <c r="D70" s="9" t="s">
        <v>206</v>
      </c>
      <c r="E70" s="3">
        <f t="shared" si="24"/>
        <v>17478</v>
      </c>
      <c r="F70" s="3">
        <f t="shared" si="21"/>
        <v>16729158</v>
      </c>
      <c r="G70" s="3" t="str">
        <f t="shared" si="22"/>
        <v>00FF4446</v>
      </c>
      <c r="H70">
        <f t="shared" si="23"/>
        <v>16711680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</row>
    <row r="71" spans="3:16" x14ac:dyDescent="0.3">
      <c r="C71" s="3">
        <v>43</v>
      </c>
      <c r="D71" s="3" t="s">
        <v>192</v>
      </c>
      <c r="E71" s="3">
        <f t="shared" si="24"/>
        <v>1024</v>
      </c>
      <c r="F71" s="3">
        <f t="shared" si="21"/>
        <v>16712704</v>
      </c>
      <c r="G71" s="3" t="str">
        <f t="shared" si="22"/>
        <v>00FF0400</v>
      </c>
      <c r="H71">
        <f t="shared" si="23"/>
        <v>16711680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</row>
    <row r="72" spans="3:16" x14ac:dyDescent="0.3">
      <c r="C72" s="3">
        <v>44</v>
      </c>
      <c r="D72" s="3" t="s">
        <v>191</v>
      </c>
      <c r="E72" s="3">
        <f t="shared" si="24"/>
        <v>512</v>
      </c>
      <c r="F72" s="3">
        <f t="shared" si="21"/>
        <v>16712192</v>
      </c>
      <c r="G72" s="3" t="str">
        <f t="shared" si="22"/>
        <v>00FF0200</v>
      </c>
      <c r="H72">
        <f t="shared" si="23"/>
        <v>16711680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</row>
    <row r="73" spans="3:16" x14ac:dyDescent="0.3">
      <c r="C73" s="3">
        <v>45</v>
      </c>
      <c r="D73" s="9" t="s">
        <v>207</v>
      </c>
      <c r="E73" s="3">
        <f t="shared" si="24"/>
        <v>17414</v>
      </c>
      <c r="F73" s="3">
        <f t="shared" si="21"/>
        <v>16729094</v>
      </c>
      <c r="G73" s="3" t="str">
        <f t="shared" si="22"/>
        <v>00FF4406</v>
      </c>
      <c r="H73">
        <f t="shared" si="23"/>
        <v>16711680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</row>
    <row r="74" spans="3:16" x14ac:dyDescent="0.3">
      <c r="C74" s="3">
        <v>46</v>
      </c>
      <c r="D74" s="3" t="s">
        <v>192</v>
      </c>
      <c r="E74" s="3">
        <f t="shared" si="24"/>
        <v>1024</v>
      </c>
      <c r="F74" s="3">
        <f t="shared" si="21"/>
        <v>16712704</v>
      </c>
      <c r="G74" s="3" t="str">
        <f t="shared" si="22"/>
        <v>00FF0400</v>
      </c>
      <c r="H74">
        <f t="shared" si="23"/>
        <v>16711680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</row>
    <row r="75" spans="3:16" x14ac:dyDescent="0.3">
      <c r="C75" s="3">
        <v>47</v>
      </c>
      <c r="D75" s="3" t="s">
        <v>191</v>
      </c>
      <c r="E75" s="3">
        <f t="shared" si="24"/>
        <v>512</v>
      </c>
      <c r="F75" s="3">
        <f t="shared" si="21"/>
        <v>16712192</v>
      </c>
      <c r="G75" s="3" t="str">
        <f t="shared" si="22"/>
        <v>00FF0200</v>
      </c>
      <c r="H75">
        <f t="shared" si="23"/>
        <v>16711680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</row>
    <row r="76" spans="3:16" x14ac:dyDescent="0.3">
      <c r="C76" s="3">
        <v>48</v>
      </c>
      <c r="D76" s="9" t="s">
        <v>208</v>
      </c>
      <c r="E76" s="3">
        <f t="shared" si="24"/>
        <v>17415</v>
      </c>
      <c r="F76" s="3">
        <f t="shared" si="21"/>
        <v>16729095</v>
      </c>
      <c r="G76" s="3" t="str">
        <f t="shared" si="22"/>
        <v>00FF4407</v>
      </c>
      <c r="H76">
        <f t="shared" si="23"/>
        <v>16711680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</row>
    <row r="77" spans="3:16" x14ac:dyDescent="0.3">
      <c r="C77" s="3">
        <v>49</v>
      </c>
      <c r="D77" s="3" t="s">
        <v>192</v>
      </c>
      <c r="E77" s="3">
        <f t="shared" si="24"/>
        <v>1024</v>
      </c>
      <c r="F77" s="3">
        <f t="shared" si="21"/>
        <v>16712704</v>
      </c>
      <c r="G77" s="3" t="str">
        <f t="shared" si="22"/>
        <v>00FF0400</v>
      </c>
      <c r="H77">
        <f t="shared" si="23"/>
        <v>16711680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</row>
    <row r="78" spans="3:16" x14ac:dyDescent="0.3">
      <c r="C78" s="3">
        <v>50</v>
      </c>
      <c r="D78" s="3" t="s">
        <v>191</v>
      </c>
      <c r="E78" s="3">
        <f t="shared" si="24"/>
        <v>512</v>
      </c>
      <c r="F78" s="3">
        <f t="shared" si="21"/>
        <v>16712192</v>
      </c>
      <c r="G78" s="3" t="str">
        <f t="shared" si="22"/>
        <v>00FF0200</v>
      </c>
      <c r="H78">
        <f t="shared" si="23"/>
        <v>16711680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</row>
    <row r="79" spans="3:16" x14ac:dyDescent="0.3">
      <c r="C79" s="3">
        <v>51</v>
      </c>
      <c r="D79" s="9" t="s">
        <v>209</v>
      </c>
      <c r="E79" s="3">
        <f t="shared" si="24"/>
        <v>17479</v>
      </c>
      <c r="F79" s="3">
        <f t="shared" si="21"/>
        <v>16729159</v>
      </c>
      <c r="G79" s="3" t="str">
        <f t="shared" si="22"/>
        <v>00FF4447</v>
      </c>
      <c r="H79">
        <f t="shared" si="23"/>
        <v>16711680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</row>
    <row r="80" spans="3:16" x14ac:dyDescent="0.3">
      <c r="C80" s="3">
        <v>52</v>
      </c>
      <c r="D80" s="3" t="s">
        <v>192</v>
      </c>
      <c r="E80" s="3">
        <f t="shared" si="24"/>
        <v>1024</v>
      </c>
      <c r="F80" s="3">
        <f t="shared" si="21"/>
        <v>16712704</v>
      </c>
      <c r="G80" s="3" t="str">
        <f t="shared" si="22"/>
        <v>00FF0400</v>
      </c>
      <c r="H80">
        <f t="shared" si="23"/>
        <v>16711680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</row>
    <row r="81" spans="3:16" x14ac:dyDescent="0.3">
      <c r="C81" s="3">
        <v>53</v>
      </c>
      <c r="D81" s="3" t="s">
        <v>191</v>
      </c>
      <c r="E81" s="3">
        <f t="shared" si="24"/>
        <v>512</v>
      </c>
      <c r="F81" s="3">
        <f t="shared" si="21"/>
        <v>16712192</v>
      </c>
      <c r="G81" s="3" t="str">
        <f t="shared" si="22"/>
        <v>00FF0200</v>
      </c>
      <c r="H81">
        <f t="shared" si="23"/>
        <v>16711680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</row>
    <row r="82" spans="3:16" x14ac:dyDescent="0.3">
      <c r="C82" s="3">
        <v>54</v>
      </c>
      <c r="E82" s="3"/>
      <c r="F82" s="3">
        <f t="shared" si="21"/>
        <v>0</v>
      </c>
      <c r="G82" s="3" t="str">
        <f t="shared" si="22"/>
        <v>00000000</v>
      </c>
      <c r="H82">
        <f t="shared" si="23"/>
        <v>0</v>
      </c>
    </row>
    <row r="83" spans="3:16" x14ac:dyDescent="0.3">
      <c r="C83" s="3">
        <v>55</v>
      </c>
      <c r="D83" s="3"/>
      <c r="E83" s="3"/>
      <c r="F83" s="3">
        <f t="shared" si="21"/>
        <v>0</v>
      </c>
      <c r="G83" s="3" t="str">
        <f t="shared" si="22"/>
        <v>00000000</v>
      </c>
      <c r="H83">
        <f t="shared" si="23"/>
        <v>0</v>
      </c>
    </row>
    <row r="84" spans="3:16" x14ac:dyDescent="0.3">
      <c r="C84" s="3">
        <v>56</v>
      </c>
      <c r="D84" s="3"/>
      <c r="E84" s="3"/>
      <c r="F84" s="3">
        <f t="shared" si="21"/>
        <v>0</v>
      </c>
      <c r="G84" s="3" t="str">
        <f t="shared" si="22"/>
        <v>00000000</v>
      </c>
      <c r="H84">
        <f t="shared" si="23"/>
        <v>0</v>
      </c>
    </row>
    <row r="85" spans="3:16" x14ac:dyDescent="0.3">
      <c r="C85" s="3">
        <v>57</v>
      </c>
      <c r="D85" s="3"/>
      <c r="E85" s="3"/>
      <c r="F85" s="3">
        <f t="shared" si="21"/>
        <v>0</v>
      </c>
      <c r="G85" s="3" t="str">
        <f t="shared" si="22"/>
        <v>00000000</v>
      </c>
      <c r="H85">
        <f t="shared" si="23"/>
        <v>0</v>
      </c>
    </row>
    <row r="86" spans="3:16" x14ac:dyDescent="0.3">
      <c r="C86" s="3">
        <v>58</v>
      </c>
      <c r="D86" s="3"/>
      <c r="E86" s="3"/>
      <c r="F86" s="3">
        <f t="shared" si="21"/>
        <v>0</v>
      </c>
      <c r="G86" s="3" t="str">
        <f t="shared" si="22"/>
        <v>00000000</v>
      </c>
      <c r="H86">
        <f t="shared" si="23"/>
        <v>0</v>
      </c>
    </row>
    <row r="87" spans="3:16" x14ac:dyDescent="0.3">
      <c r="C87" s="3">
        <v>59</v>
      </c>
      <c r="D87" s="3"/>
      <c r="E87" s="3"/>
      <c r="F87" s="3">
        <f t="shared" si="21"/>
        <v>0</v>
      </c>
      <c r="G87" s="3" t="str">
        <f t="shared" si="22"/>
        <v>00000000</v>
      </c>
      <c r="H87">
        <f t="shared" si="23"/>
        <v>0</v>
      </c>
    </row>
    <row r="88" spans="3:16" x14ac:dyDescent="0.3">
      <c r="C88" s="3">
        <v>60</v>
      </c>
      <c r="D88" s="3"/>
      <c r="E88" s="3"/>
      <c r="F88" s="3">
        <f t="shared" si="21"/>
        <v>0</v>
      </c>
      <c r="G88" s="3" t="str">
        <f t="shared" si="22"/>
        <v>00000000</v>
      </c>
      <c r="H88">
        <f t="shared" si="23"/>
        <v>0</v>
      </c>
    </row>
    <row r="89" spans="3:16" x14ac:dyDescent="0.3">
      <c r="C89" s="3">
        <v>61</v>
      </c>
      <c r="D89" s="3"/>
      <c r="E89" s="3"/>
      <c r="F89" s="3">
        <f t="shared" si="21"/>
        <v>0</v>
      </c>
      <c r="G89" s="3" t="str">
        <f t="shared" si="22"/>
        <v>00000000</v>
      </c>
      <c r="H89">
        <f t="shared" si="23"/>
        <v>0</v>
      </c>
    </row>
    <row r="90" spans="3:16" x14ac:dyDescent="0.3">
      <c r="C90" s="3">
        <v>62</v>
      </c>
      <c r="D90" s="3"/>
      <c r="E90" s="3"/>
      <c r="F90" s="3">
        <f t="shared" si="21"/>
        <v>0</v>
      </c>
      <c r="G90" s="3" t="str">
        <f t="shared" si="22"/>
        <v>00000000</v>
      </c>
      <c r="H90">
        <f t="shared" si="23"/>
        <v>0</v>
      </c>
    </row>
    <row r="91" spans="3:16" x14ac:dyDescent="0.3">
      <c r="C91" s="3">
        <v>63</v>
      </c>
      <c r="D91" s="3"/>
      <c r="E91" s="3"/>
      <c r="F91" s="3">
        <f t="shared" si="21"/>
        <v>0</v>
      </c>
      <c r="G91" s="3" t="str">
        <f t="shared" si="22"/>
        <v>00000000</v>
      </c>
      <c r="H91">
        <f t="shared" si="23"/>
        <v>0</v>
      </c>
    </row>
    <row r="92" spans="3:16" x14ac:dyDescent="0.3">
      <c r="D92" s="3"/>
    </row>
    <row r="93" spans="3:16" x14ac:dyDescent="0.3">
      <c r="D93" s="3"/>
    </row>
    <row r="94" spans="3:16" x14ac:dyDescent="0.3">
      <c r="D94" s="3"/>
    </row>
    <row r="95" spans="3:16" x14ac:dyDescent="0.3">
      <c r="D95" s="3"/>
    </row>
    <row r="96" spans="3:16" x14ac:dyDescent="0.3">
      <c r="D9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RegisterConfig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 Erlenbeck</cp:lastModifiedBy>
  <dcterms:created xsi:type="dcterms:W3CDTF">2006-09-16T00:00:00Z</dcterms:created>
  <dcterms:modified xsi:type="dcterms:W3CDTF">2015-12-09T14:45:10Z</dcterms:modified>
</cp:coreProperties>
</file>